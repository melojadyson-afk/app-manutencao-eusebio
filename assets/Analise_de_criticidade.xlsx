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ales2\OneDrive - ELIS\Área de Trabalho\Arquivos\Analise de Criticidade\"/>
    </mc:Choice>
  </mc:AlternateContent>
  <xr:revisionPtr revIDLastSave="23" documentId="11_DD0B27ABEC34256D780F36FD9B1BDF98C2E19E4C" xr6:coauthVersionLast="47" xr6:coauthVersionMax="47" xr10:uidLastSave="{6FA0CEAC-2A9C-4681-BE11-EBA8E0E67DE8}"/>
  <bookViews>
    <workbookView xWindow="0" yWindow="0" windowWidth="15345" windowHeight="4545" xr2:uid="{00000000-000D-0000-FFFF-FFFF00000000}"/>
  </bookViews>
  <sheets>
    <sheet name="Analise criticidade" sheetId="15" r:id="rId1"/>
    <sheet name="Critério_Orientação" sheetId="16" r:id="rId2"/>
  </sheets>
  <definedNames>
    <definedName name="_xlnm._FilterDatabase" localSheetId="0" hidden="1">'Analise criticidade'!$B$4:$O$199</definedName>
    <definedName name="_xlnm.Print_Area" localSheetId="0">'Analise criticidade'!$A$2:$O$628</definedName>
    <definedName name="_xlnm.Print_Titles" localSheetId="0">'Analise criticidade'!$1:$5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6" l="1"/>
  <c r="H17" i="16" s="1"/>
  <c r="N202" i="15"/>
  <c r="O202" i="15" s="1"/>
  <c r="N201" i="15"/>
  <c r="O201" i="15" s="1"/>
  <c r="N200" i="15"/>
  <c r="O200" i="15" s="1"/>
  <c r="N199" i="15"/>
  <c r="O199" i="15" s="1"/>
  <c r="N198" i="15"/>
  <c r="O198" i="15" s="1"/>
  <c r="N197" i="15"/>
  <c r="O197" i="15" s="1"/>
  <c r="N196" i="15"/>
  <c r="O196" i="15" s="1"/>
  <c r="N195" i="15"/>
  <c r="O195" i="15" s="1"/>
  <c r="N194" i="15"/>
  <c r="O194" i="15" s="1"/>
  <c r="N193" i="15"/>
  <c r="O193" i="15" s="1"/>
  <c r="N192" i="15"/>
  <c r="O192" i="15" s="1"/>
  <c r="N191" i="15"/>
  <c r="O191" i="15" s="1"/>
  <c r="N190" i="15"/>
  <c r="O190" i="15" s="1"/>
  <c r="N189" i="15"/>
  <c r="O189" i="15" s="1"/>
  <c r="N188" i="15"/>
  <c r="O188" i="15" s="1"/>
  <c r="N187" i="15"/>
  <c r="O187" i="15" s="1"/>
  <c r="N186" i="15"/>
  <c r="O186" i="15" s="1"/>
  <c r="N185" i="15"/>
  <c r="O185" i="15" s="1"/>
  <c r="N184" i="15"/>
  <c r="O184" i="15" s="1"/>
  <c r="N183" i="15"/>
  <c r="O183" i="15" s="1"/>
  <c r="N182" i="15"/>
  <c r="O182" i="15" s="1"/>
  <c r="N181" i="15"/>
  <c r="O181" i="15" s="1"/>
  <c r="N180" i="15"/>
  <c r="O180" i="15" s="1"/>
  <c r="N179" i="15"/>
  <c r="O179" i="15" s="1"/>
  <c r="N178" i="15"/>
  <c r="O178" i="15" s="1"/>
  <c r="N177" i="15"/>
  <c r="O177" i="15" s="1"/>
  <c r="N176" i="15"/>
  <c r="O176" i="15" s="1"/>
  <c r="N175" i="15"/>
  <c r="O175" i="15" s="1"/>
  <c r="N174" i="15"/>
  <c r="O174" i="15" s="1"/>
  <c r="N173" i="15"/>
  <c r="O173" i="15" s="1"/>
  <c r="N172" i="15"/>
  <c r="O172" i="15" s="1"/>
  <c r="N171" i="15"/>
  <c r="O171" i="15" s="1"/>
  <c r="N170" i="15"/>
  <c r="O170" i="15" s="1"/>
  <c r="N169" i="15"/>
  <c r="O169" i="15" s="1"/>
  <c r="N168" i="15"/>
  <c r="O168" i="15" s="1"/>
  <c r="N167" i="15"/>
  <c r="O167" i="15" s="1"/>
  <c r="N166" i="15"/>
  <c r="O166" i="15" s="1"/>
  <c r="N165" i="15"/>
  <c r="O165" i="15" s="1"/>
  <c r="N164" i="15"/>
  <c r="O164" i="15" s="1"/>
  <c r="N163" i="15"/>
  <c r="O163" i="15" s="1"/>
  <c r="N162" i="15"/>
  <c r="O162" i="15" s="1"/>
  <c r="N161" i="15"/>
  <c r="O161" i="15" s="1"/>
  <c r="N160" i="15"/>
  <c r="O160" i="15" s="1"/>
  <c r="N159" i="15"/>
  <c r="O159" i="15" s="1"/>
  <c r="N158" i="15"/>
  <c r="O158" i="15" s="1"/>
  <c r="N157" i="15"/>
  <c r="O157" i="15" s="1"/>
  <c r="N156" i="15"/>
  <c r="O156" i="15" s="1"/>
  <c r="N155" i="15"/>
  <c r="O155" i="15" s="1"/>
  <c r="N154" i="15"/>
  <c r="O154" i="15" s="1"/>
  <c r="N153" i="15"/>
  <c r="O153" i="15" s="1"/>
  <c r="N152" i="15"/>
  <c r="O152" i="15" s="1"/>
  <c r="N151" i="15"/>
  <c r="O151" i="15" s="1"/>
  <c r="N150" i="15"/>
  <c r="O150" i="15" s="1"/>
  <c r="N149" i="15"/>
  <c r="O149" i="15" s="1"/>
  <c r="N148" i="15"/>
  <c r="O148" i="15" s="1"/>
  <c r="N147" i="15"/>
  <c r="O147" i="15" s="1"/>
  <c r="N146" i="15"/>
  <c r="O146" i="15" s="1"/>
  <c r="N145" i="15"/>
  <c r="O145" i="15" s="1"/>
  <c r="N144" i="15"/>
  <c r="O144" i="15" s="1"/>
  <c r="N143" i="15"/>
  <c r="O143" i="15" s="1"/>
  <c r="N142" i="15"/>
  <c r="O142" i="15" s="1"/>
  <c r="N141" i="15"/>
  <c r="O141" i="15" s="1"/>
  <c r="N140" i="15"/>
  <c r="O140" i="15" s="1"/>
  <c r="N139" i="15"/>
  <c r="O139" i="15" s="1"/>
  <c r="N138" i="15"/>
  <c r="O138" i="15" s="1"/>
  <c r="N137" i="15"/>
  <c r="O137" i="15" s="1"/>
  <c r="N136" i="15"/>
  <c r="O136" i="15" s="1"/>
  <c r="N135" i="15"/>
  <c r="O135" i="15" s="1"/>
  <c r="N134" i="15"/>
  <c r="O134" i="15" s="1"/>
  <c r="N133" i="15"/>
  <c r="O133" i="15" s="1"/>
  <c r="N132" i="15"/>
  <c r="O132" i="15" s="1"/>
  <c r="N131" i="15"/>
  <c r="O131" i="15" s="1"/>
  <c r="N130" i="15"/>
  <c r="O130" i="15" s="1"/>
  <c r="N129" i="15"/>
  <c r="O129" i="15" s="1"/>
  <c r="N128" i="15"/>
  <c r="O128" i="15" s="1"/>
  <c r="N127" i="15"/>
  <c r="O127" i="15" s="1"/>
  <c r="N126" i="15"/>
  <c r="O126" i="15" s="1"/>
  <c r="N125" i="15"/>
  <c r="O125" i="15" s="1"/>
  <c r="N124" i="15"/>
  <c r="O124" i="15" s="1"/>
  <c r="N123" i="15"/>
  <c r="O123" i="15" s="1"/>
  <c r="N122" i="15"/>
  <c r="O122" i="15" s="1"/>
  <c r="N121" i="15"/>
  <c r="O121" i="15" s="1"/>
  <c r="N120" i="15"/>
  <c r="O120" i="15" s="1"/>
  <c r="N119" i="15"/>
  <c r="O119" i="15" s="1"/>
  <c r="N118" i="15"/>
  <c r="O118" i="15" s="1"/>
  <c r="N117" i="15"/>
  <c r="O117" i="15" s="1"/>
  <c r="N116" i="15"/>
  <c r="O116" i="15" s="1"/>
  <c r="N115" i="15"/>
  <c r="O115" i="15" s="1"/>
  <c r="N114" i="15"/>
  <c r="O114" i="15" s="1"/>
  <c r="N113" i="15"/>
  <c r="O113" i="15" s="1"/>
  <c r="N112" i="15"/>
  <c r="O112" i="15" s="1"/>
  <c r="N111" i="15"/>
  <c r="O111" i="15" s="1"/>
  <c r="N110" i="15"/>
  <c r="O110" i="15" s="1"/>
  <c r="N109" i="15"/>
  <c r="O109" i="15" s="1"/>
  <c r="N108" i="15"/>
  <c r="O108" i="15" s="1"/>
  <c r="N107" i="15"/>
  <c r="O107" i="15" s="1"/>
  <c r="N106" i="15"/>
  <c r="O106" i="15" s="1"/>
  <c r="N105" i="15"/>
  <c r="O105" i="15" s="1"/>
  <c r="N104" i="15"/>
  <c r="O104" i="15" s="1"/>
  <c r="N103" i="15"/>
  <c r="O103" i="15" s="1"/>
  <c r="N102" i="15"/>
  <c r="O102" i="15" s="1"/>
  <c r="N101" i="15"/>
  <c r="O101" i="15" s="1"/>
  <c r="N100" i="15"/>
  <c r="O100" i="15" s="1"/>
  <c r="N99" i="15"/>
  <c r="O99" i="15" s="1"/>
  <c r="N98" i="15"/>
  <c r="O98" i="15" s="1"/>
  <c r="N97" i="15"/>
  <c r="O97" i="15" s="1"/>
  <c r="N96" i="15"/>
  <c r="O96" i="15" s="1"/>
  <c r="N95" i="15"/>
  <c r="O95" i="15" s="1"/>
  <c r="N94" i="15"/>
  <c r="O94" i="15" s="1"/>
  <c r="N93" i="15"/>
  <c r="O93" i="15" s="1"/>
  <c r="N92" i="15"/>
  <c r="O92" i="15" s="1"/>
  <c r="N91" i="15"/>
  <c r="O91" i="15" s="1"/>
  <c r="N90" i="15"/>
  <c r="O90" i="15" s="1"/>
  <c r="N89" i="15"/>
  <c r="O89" i="15" s="1"/>
  <c r="N88" i="15"/>
  <c r="O88" i="15" s="1"/>
  <c r="N87" i="15"/>
  <c r="O87" i="15" s="1"/>
  <c r="N86" i="15"/>
  <c r="O86" i="15" s="1"/>
  <c r="N85" i="15"/>
  <c r="O85" i="15" s="1"/>
  <c r="N84" i="15"/>
  <c r="O84" i="15" s="1"/>
  <c r="N83" i="15"/>
  <c r="O83" i="15" s="1"/>
  <c r="N82" i="15"/>
  <c r="O82" i="15" s="1"/>
  <c r="N81" i="15"/>
  <c r="O81" i="15" s="1"/>
  <c r="N80" i="15"/>
  <c r="O80" i="15" s="1"/>
  <c r="N79" i="15"/>
  <c r="O79" i="15" s="1"/>
  <c r="N78" i="15"/>
  <c r="O78" i="15" s="1"/>
  <c r="N77" i="15"/>
  <c r="O77" i="15" s="1"/>
  <c r="N76" i="15"/>
  <c r="O76" i="15" s="1"/>
  <c r="N75" i="15"/>
  <c r="O75" i="15" s="1"/>
  <c r="N74" i="15"/>
  <c r="O74" i="15" s="1"/>
  <c r="N73" i="15"/>
  <c r="O73" i="15" s="1"/>
  <c r="N72" i="15"/>
  <c r="O72" i="15" s="1"/>
  <c r="N71" i="15"/>
  <c r="O71" i="15" s="1"/>
  <c r="N70" i="15"/>
  <c r="O70" i="15" s="1"/>
  <c r="N69" i="15"/>
  <c r="O69" i="15" s="1"/>
  <c r="N68" i="15"/>
  <c r="O68" i="15" s="1"/>
  <c r="N67" i="15"/>
  <c r="O67" i="15" s="1"/>
  <c r="N66" i="15"/>
  <c r="O66" i="15" s="1"/>
  <c r="N65" i="15"/>
  <c r="O65" i="15" s="1"/>
  <c r="N64" i="15"/>
  <c r="O64" i="15" s="1"/>
  <c r="N63" i="15"/>
  <c r="O63" i="15" s="1"/>
  <c r="N62" i="15"/>
  <c r="O62" i="15" s="1"/>
  <c r="N61" i="15"/>
  <c r="O61" i="15" s="1"/>
  <c r="N60" i="15"/>
  <c r="O60" i="15" s="1"/>
  <c r="N59" i="15"/>
  <c r="O59" i="15" s="1"/>
  <c r="N58" i="15"/>
  <c r="O58" i="15" s="1"/>
  <c r="N57" i="15"/>
  <c r="O57" i="15" s="1"/>
  <c r="N56" i="15"/>
  <c r="O56" i="15" s="1"/>
  <c r="N55" i="15"/>
  <c r="O55" i="15" s="1"/>
  <c r="N54" i="15"/>
  <c r="O54" i="15" s="1"/>
  <c r="N53" i="15"/>
  <c r="O53" i="15" s="1"/>
  <c r="N52" i="15"/>
  <c r="O52" i="15" s="1"/>
  <c r="N51" i="15"/>
  <c r="O51" i="15" s="1"/>
  <c r="N50" i="15"/>
  <c r="O50" i="15" s="1"/>
  <c r="N49" i="15"/>
  <c r="O49" i="15" s="1"/>
  <c r="N48" i="15"/>
  <c r="O48" i="15" s="1"/>
  <c r="N47" i="15"/>
  <c r="O47" i="15" s="1"/>
  <c r="N46" i="15"/>
  <c r="O46" i="15" s="1"/>
  <c r="N45" i="15"/>
  <c r="O45" i="15" s="1"/>
  <c r="N44" i="15"/>
  <c r="O44" i="15" s="1"/>
  <c r="N43" i="15"/>
  <c r="O43" i="15" s="1"/>
  <c r="N42" i="15"/>
  <c r="O42" i="15" s="1"/>
  <c r="N41" i="15"/>
  <c r="O41" i="15" s="1"/>
  <c r="N40" i="15"/>
  <c r="O40" i="15" s="1"/>
  <c r="N39" i="15"/>
  <c r="O39" i="15" s="1"/>
  <c r="N38" i="15"/>
  <c r="O38" i="15" s="1"/>
  <c r="N37" i="15"/>
  <c r="O37" i="15" s="1"/>
  <c r="N36" i="15"/>
  <c r="O36" i="15" s="1"/>
  <c r="N35" i="15"/>
  <c r="O35" i="15" s="1"/>
  <c r="N34" i="15"/>
  <c r="O34" i="15" s="1"/>
  <c r="N33" i="15"/>
  <c r="O33" i="15" s="1"/>
  <c r="N32" i="15"/>
  <c r="O32" i="15" s="1"/>
  <c r="N31" i="15"/>
  <c r="O31" i="15" s="1"/>
  <c r="N30" i="15"/>
  <c r="O30" i="15" s="1"/>
  <c r="N29" i="15"/>
  <c r="O29" i="15" s="1"/>
  <c r="N28" i="15"/>
  <c r="O28" i="15" s="1"/>
  <c r="N27" i="15"/>
  <c r="O27" i="15" s="1"/>
  <c r="N26" i="15"/>
  <c r="O26" i="15" s="1"/>
  <c r="N25" i="15"/>
  <c r="O25" i="15" s="1"/>
  <c r="N24" i="15"/>
  <c r="O24" i="15" s="1"/>
  <c r="N23" i="15"/>
  <c r="O23" i="15" s="1"/>
  <c r="N22" i="15"/>
  <c r="O22" i="15" s="1"/>
  <c r="N21" i="15"/>
  <c r="O21" i="15" s="1"/>
  <c r="N20" i="15"/>
  <c r="O20" i="15" s="1"/>
  <c r="N19" i="15"/>
  <c r="O19" i="15" s="1"/>
  <c r="N18" i="15"/>
  <c r="O18" i="15" s="1"/>
  <c r="N17" i="15"/>
  <c r="O17" i="15" s="1"/>
  <c r="N16" i="15"/>
  <c r="O16" i="15" s="1"/>
  <c r="N15" i="15"/>
  <c r="O15" i="15" s="1"/>
  <c r="N14" i="15"/>
  <c r="O14" i="15" s="1"/>
  <c r="N13" i="15"/>
  <c r="O13" i="15" s="1"/>
  <c r="N12" i="15"/>
  <c r="O12" i="15" s="1"/>
  <c r="N11" i="15"/>
  <c r="O11" i="15" s="1"/>
  <c r="N10" i="15"/>
  <c r="O10" i="15" s="1"/>
  <c r="N9" i="15"/>
  <c r="O9" i="15" s="1"/>
  <c r="N8" i="15"/>
  <c r="O8" i="15" s="1"/>
  <c r="N7" i="15"/>
  <c r="O7" i="15" s="1"/>
  <c r="N6" i="15"/>
  <c r="O6" i="15" s="1"/>
  <c r="N208" i="15" l="1"/>
  <c r="N206" i="15"/>
  <c r="N207" i="15"/>
  <c r="N205" i="15"/>
  <c r="N209" i="15" l="1"/>
  <c r="M205" i="15" s="1"/>
  <c r="M206" i="15" l="1"/>
  <c r="M208" i="15"/>
  <c r="M207" i="15"/>
  <c r="M209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SCOMPARIM Richard</author>
    <author>Fiat Automoveis S/A</author>
  </authors>
  <commentList>
    <comment ref="B4" authorId="0" shapeId="0" xr:uid="{00000000-0006-0000-0000-000001000000}">
      <text>
        <r>
          <rPr>
            <b/>
            <sz val="12"/>
            <color indexed="81"/>
            <rFont val="Segoe UI"/>
            <family val="2"/>
          </rPr>
          <t>Neste campo é apenas inserido um sequencia numerico. Ex: 1,2,3,4,5,etc...</t>
        </r>
      </text>
    </comment>
    <comment ref="C4" authorId="0" shapeId="0" xr:uid="{00000000-0006-0000-0000-000002000000}">
      <text>
        <r>
          <rPr>
            <b/>
            <sz val="12"/>
            <color indexed="81"/>
            <rFont val="Segoe UI"/>
            <family val="2"/>
          </rPr>
          <t xml:space="preserve">Nesta coluna é inserida o TAG do equipamento que esta cadastrado no TOM.
</t>
        </r>
      </text>
    </comment>
    <comment ref="D4" authorId="0" shapeId="0" xr:uid="{00000000-0006-0000-0000-000003000000}">
      <text>
        <r>
          <rPr>
            <b/>
            <sz val="12"/>
            <color indexed="81"/>
            <rFont val="Segoe UI"/>
            <family val="2"/>
          </rPr>
          <t>Descrição do Equipamento Cadastrado no TOM.
Ex: Secador Goudkuil 50kg</t>
        </r>
      </text>
    </comment>
    <comment ref="E4" authorId="0" shapeId="0" xr:uid="{00000000-0006-0000-0000-000004000000}">
      <text>
        <r>
          <rPr>
            <b/>
            <sz val="12"/>
            <color indexed="81"/>
            <rFont val="Segoe UI"/>
            <family val="2"/>
          </rPr>
          <t>Inserir o fabricante do Equipamento
Ex: Lavatec, Senking, Suzuki, Sealion, etc..</t>
        </r>
      </text>
    </comment>
    <comment ref="F5" authorId="1" shapeId="0" xr:uid="{00000000-0006-0000-0000-000005000000}">
      <text>
        <r>
          <rPr>
            <b/>
            <sz val="10"/>
            <color indexed="81"/>
            <rFont val="Tahoma"/>
            <family val="2"/>
          </rPr>
          <t>MÁX = 35 PTS'</t>
        </r>
      </text>
    </comment>
    <comment ref="G5" authorId="1" shapeId="0" xr:uid="{00000000-0006-0000-0000-000006000000}">
      <text>
        <r>
          <rPr>
            <b/>
            <sz val="10"/>
            <color indexed="81"/>
            <rFont val="Tahoma"/>
            <family val="2"/>
          </rPr>
          <t>MÁX = 5 PTS</t>
        </r>
      </text>
    </comment>
    <comment ref="H5" authorId="1" shapeId="0" xr:uid="{00000000-0006-0000-0000-000007000000}">
      <text>
        <r>
          <rPr>
            <b/>
            <sz val="10"/>
            <color indexed="81"/>
            <rFont val="Tahoma"/>
            <family val="2"/>
          </rPr>
          <t>MÁX = 10 PTS</t>
        </r>
      </text>
    </comment>
    <comment ref="I5" authorId="1" shapeId="0" xr:uid="{00000000-0006-0000-0000-000008000000}">
      <text>
        <r>
          <rPr>
            <b/>
            <sz val="10"/>
            <color indexed="81"/>
            <rFont val="Tahoma"/>
            <family val="2"/>
          </rPr>
          <t>MÁX = 5 PTS</t>
        </r>
      </text>
    </comment>
    <comment ref="J5" authorId="1" shapeId="0" xr:uid="{00000000-0006-0000-0000-000009000000}">
      <text>
        <r>
          <rPr>
            <b/>
            <sz val="10"/>
            <color indexed="81"/>
            <rFont val="Tahoma"/>
            <family val="2"/>
          </rPr>
          <t>MÁX = 5 PTS</t>
        </r>
      </text>
    </comment>
    <comment ref="K5" authorId="1" shapeId="0" xr:uid="{00000000-0006-0000-0000-00000A000000}">
      <text>
        <r>
          <rPr>
            <b/>
            <sz val="10"/>
            <color indexed="81"/>
            <rFont val="Tahoma"/>
            <family val="2"/>
          </rPr>
          <t>MÁX = 10 PTS</t>
        </r>
      </text>
    </comment>
    <comment ref="L5" authorId="1" shapeId="0" xr:uid="{00000000-0006-0000-0000-00000B000000}">
      <text>
        <r>
          <rPr>
            <b/>
            <sz val="10"/>
            <color indexed="81"/>
            <rFont val="Tahoma"/>
            <family val="2"/>
          </rPr>
          <t>MÁX = 35 PTS</t>
        </r>
      </text>
    </comment>
    <comment ref="M5" authorId="1" shapeId="0" xr:uid="{00000000-0006-0000-0000-00000C000000}">
      <text>
        <r>
          <rPr>
            <b/>
            <sz val="10"/>
            <color indexed="81"/>
            <rFont val="Tahoma"/>
            <family val="2"/>
          </rPr>
          <t>MÁX = 100 PTS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SCOMPARIM Richard</author>
  </authors>
  <commentList>
    <comment ref="E9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 xml:space="preserve">Qual o impacto do equipamento nos enxovais?
</t>
        </r>
      </text>
    </comment>
  </commentList>
</comments>
</file>

<file path=xl/sharedStrings.xml><?xml version="1.0" encoding="utf-8"?>
<sst xmlns="http://schemas.openxmlformats.org/spreadsheetml/2006/main" count="511" uniqueCount="391">
  <si>
    <t>TABELA DE CLASSIFICAÇÃO DE EQUIPAMENTOS</t>
  </si>
  <si>
    <t>NUM.</t>
  </si>
  <si>
    <t>TAG do Equipamento</t>
  </si>
  <si>
    <t>MÁQUINA</t>
  </si>
  <si>
    <t>FABR</t>
  </si>
  <si>
    <t>TEMPO CONSERTO (T)</t>
  </si>
  <si>
    <t>GRAU DE INFLUÊNCIA
 (G)</t>
  </si>
  <si>
    <t xml:space="preserve">Taxa de falha - λ% </t>
  </si>
  <si>
    <t>CRITIC. MAQ.
( C )</t>
  </si>
  <si>
    <t>TOTAL</t>
  </si>
  <si>
    <t>CLASSIF.</t>
  </si>
  <si>
    <t>TAGBR00001</t>
  </si>
  <si>
    <t>CALDEIRA BREMER 2</t>
  </si>
  <si>
    <t>BREMER</t>
  </si>
  <si>
    <t>TAGBR00002</t>
  </si>
  <si>
    <t>CALDEIRA BREMER 1</t>
  </si>
  <si>
    <t>TAGBR00003</t>
  </si>
  <si>
    <t>Bags Area Critica 3 - Alimentador de Tuneis</t>
  </si>
  <si>
    <t>WSP</t>
  </si>
  <si>
    <t>TAGBR00004</t>
  </si>
  <si>
    <t>Bags Area Limpa 1 - Cirurgico e Lençois</t>
  </si>
  <si>
    <t>TAGBR00005</t>
  </si>
  <si>
    <t>Bags Area Critica 2 - Buffer 2</t>
  </si>
  <si>
    <t>TAGBR00006</t>
  </si>
  <si>
    <t>Bags Area Critica 1 - Buffer 1</t>
  </si>
  <si>
    <t>TAGBR00007</t>
  </si>
  <si>
    <t>Bags Area Limpa 2 - Dropper</t>
  </si>
  <si>
    <t>TAGBR00008</t>
  </si>
  <si>
    <t>Tunel de Lavagem Lavatec 01</t>
  </si>
  <si>
    <t>LAVATEC</t>
  </si>
  <si>
    <t>TAGBR00009</t>
  </si>
  <si>
    <t>Tunel de Lavagem Lavatec 02</t>
  </si>
  <si>
    <t>TAGBR00010</t>
  </si>
  <si>
    <t>Tunel de Lavagem Lavatec 03</t>
  </si>
  <si>
    <t>TAGBR00011</t>
  </si>
  <si>
    <t>Tunel de Lavagem Jensen 04</t>
  </si>
  <si>
    <t>JENSEN</t>
  </si>
  <si>
    <t>TAGBR00012</t>
  </si>
  <si>
    <t>COMPRESSOR COMPAIR DELCOS 01</t>
  </si>
  <si>
    <t>COMPAIR</t>
  </si>
  <si>
    <t>TAGBR00013</t>
  </si>
  <si>
    <t xml:space="preserve">COMPRESSOR GARDNER DENVER </t>
  </si>
  <si>
    <t>GARDNER DENVER</t>
  </si>
  <si>
    <t>TAGBR00014</t>
  </si>
  <si>
    <t>COMPRESSOR 3 INGERSOLL</t>
  </si>
  <si>
    <t>INGERSOLL</t>
  </si>
  <si>
    <t>TAGBR00016</t>
  </si>
  <si>
    <t>Esteira P41</t>
  </si>
  <si>
    <t>TAGBR00017</t>
  </si>
  <si>
    <t>ESTEIRA P806</t>
  </si>
  <si>
    <t>TAGBR00018</t>
  </si>
  <si>
    <t>ESTEIRA P601</t>
  </si>
  <si>
    <t>TAGBR00019</t>
  </si>
  <si>
    <t>Esteira alimentação de cavaco 03</t>
  </si>
  <si>
    <t>ROCHA TRANSPORTES</t>
  </si>
  <si>
    <t>TAGBR00020</t>
  </si>
  <si>
    <t>ESTEIRA P802</t>
  </si>
  <si>
    <t>TAGBR00021</t>
  </si>
  <si>
    <t>Esteira saida de cavaco 01</t>
  </si>
  <si>
    <t>TAGBR00022</t>
  </si>
  <si>
    <t>ESTEIRA P812</t>
  </si>
  <si>
    <t>TAGBR00023</t>
  </si>
  <si>
    <t>ESTEIRA P805</t>
  </si>
  <si>
    <t>TAGBR00024</t>
  </si>
  <si>
    <t>Esteira alimentação de cavaco 06</t>
  </si>
  <si>
    <t>TAGBR00025</t>
  </si>
  <si>
    <t>Esteira alimentação de cavaco 01</t>
  </si>
  <si>
    <t>TAGBR00026</t>
  </si>
  <si>
    <t>ESTEIRA QUEBRA TORTA GRUPO 1</t>
  </si>
  <si>
    <t>EQUIPOWER</t>
  </si>
  <si>
    <t>TAGBR00027</t>
  </si>
  <si>
    <t>Esteira alimentação de cavaco 04</t>
  </si>
  <si>
    <t>TAGBR00028</t>
  </si>
  <si>
    <t>ESTEIRA QUEBRA TORTA GRUPO 2</t>
  </si>
  <si>
    <t>TAGBR00029</t>
  </si>
  <si>
    <t>ESTEIRA P611</t>
  </si>
  <si>
    <t>TAGBR00030</t>
  </si>
  <si>
    <t>Esteira alimentação de cavaco 05</t>
  </si>
  <si>
    <t>TAGBR00031</t>
  </si>
  <si>
    <t>Esteira P1836</t>
  </si>
  <si>
    <t>TAGBR00032</t>
  </si>
  <si>
    <t>ESTEIRA P603</t>
  </si>
  <si>
    <t>TAGBR00033</t>
  </si>
  <si>
    <t>Esteira P02</t>
  </si>
  <si>
    <t>TAGBR00034</t>
  </si>
  <si>
    <t>CARRO P662 WSP</t>
  </si>
  <si>
    <t>TAGBR00035</t>
  </si>
  <si>
    <t>ESTEIRA P804</t>
  </si>
  <si>
    <t>TAGBR00036</t>
  </si>
  <si>
    <t>TAGBR00037</t>
  </si>
  <si>
    <t>ESTEIRA P532</t>
  </si>
  <si>
    <t>TAGBR00038</t>
  </si>
  <si>
    <t>ESTEIRA P811</t>
  </si>
  <si>
    <t>TAGBR00039</t>
  </si>
  <si>
    <t>Esteira saida de cavaco 02</t>
  </si>
  <si>
    <t>TAGBR00040</t>
  </si>
  <si>
    <t>Esteira P11</t>
  </si>
  <si>
    <t>TAGBR00041</t>
  </si>
  <si>
    <t>ESTEIRA P1822</t>
  </si>
  <si>
    <t>TAGBR00042</t>
  </si>
  <si>
    <t>ESTEIRA P602</t>
  </si>
  <si>
    <t>TAGBR00043</t>
  </si>
  <si>
    <t>CARRO P663 WSP</t>
  </si>
  <si>
    <t>WPS</t>
  </si>
  <si>
    <t>TAGBR00044</t>
  </si>
  <si>
    <t>ESTEIRA P1832</t>
  </si>
  <si>
    <t>TAGBR00045</t>
  </si>
  <si>
    <t>ESTEIRA P711</t>
  </si>
  <si>
    <t>TAGBR00046</t>
  </si>
  <si>
    <t>ESTEIRA P1821</t>
  </si>
  <si>
    <t>TAGBR00047</t>
  </si>
  <si>
    <t>ESTEIRA P1833</t>
  </si>
  <si>
    <t>TAGBR00048</t>
  </si>
  <si>
    <t>Esteira alimentação de cavaco 02</t>
  </si>
  <si>
    <t>TAGBR00049</t>
  </si>
  <si>
    <t>ESTEIRA P531</t>
  </si>
  <si>
    <t>TAGBR00050</t>
  </si>
  <si>
    <t>ESTEIRA P807</t>
  </si>
  <si>
    <t>TAGBR00051</t>
  </si>
  <si>
    <t>Esteira alimentação de lenha</t>
  </si>
  <si>
    <t>CLARUS</t>
  </si>
  <si>
    <t>TAGBR00052</t>
  </si>
  <si>
    <t>ESTEIRA P1831</t>
  </si>
  <si>
    <t>TAGBR00053</t>
  </si>
  <si>
    <t>ESTEIRA P1834</t>
  </si>
  <si>
    <t>TAGBR00054</t>
  </si>
  <si>
    <t>ELEVADOR DE BAGS P 302</t>
  </si>
  <si>
    <t>TAGBR00055</t>
  </si>
  <si>
    <t>ESTEIRA P803</t>
  </si>
  <si>
    <t>TAGBR00056</t>
  </si>
  <si>
    <t>CARRO P661 WSP</t>
  </si>
  <si>
    <t>TAGBR00057</t>
  </si>
  <si>
    <t>ESTEIRA P1801</t>
  </si>
  <si>
    <t>TAGBR00058</t>
  </si>
  <si>
    <t>ESTEIRA P1835</t>
  </si>
  <si>
    <t>TAGBR00059</t>
  </si>
  <si>
    <t>GERADOR STEMAC 03</t>
  </si>
  <si>
    <t>STEMAC</t>
  </si>
  <si>
    <t>TAGBR00060</t>
  </si>
  <si>
    <t>GERADOR STEMAC 01</t>
  </si>
  <si>
    <t>TAGBR00061</t>
  </si>
  <si>
    <t>GERADOR STEMAC 02</t>
  </si>
  <si>
    <t>TAGBR00062</t>
  </si>
  <si>
    <t xml:space="preserve">SECADOR DE PISO 3 VEGA </t>
  </si>
  <si>
    <t>VEGA</t>
  </si>
  <si>
    <t>TAGBR00063</t>
  </si>
  <si>
    <t>SECADORA AUTOMATICA GOUDKUIL 763</t>
  </si>
  <si>
    <t>GOUDKUIL</t>
  </si>
  <si>
    <t>TAGBR00065</t>
  </si>
  <si>
    <t>SECADOR DE PISO 4 VEGA</t>
  </si>
  <si>
    <t>TAGBR00066</t>
  </si>
  <si>
    <t>SECADOR DE PISO 1 MAMUTE</t>
  </si>
  <si>
    <t>MAMUTE</t>
  </si>
  <si>
    <t>TAGBR00067</t>
  </si>
  <si>
    <t>SECADOR DE PISO 2 MAMUTE</t>
  </si>
  <si>
    <t>TAGBR00068</t>
  </si>
  <si>
    <t>SECADORA AUTOMATICA LAVATEC 751</t>
  </si>
  <si>
    <t>TAGBR00069</t>
  </si>
  <si>
    <t>SECADORA AUTOMATICA LAVATEC 752</t>
  </si>
  <si>
    <t>TAGBR00070</t>
  </si>
  <si>
    <t>SECADORA AUTOMATICA LAVATEC 753</t>
  </si>
  <si>
    <t>TAGBR00071</t>
  </si>
  <si>
    <t>SECADORA AUTOMATICA LAVATEC 754</t>
  </si>
  <si>
    <t>TAGBR00072</t>
  </si>
  <si>
    <t>SECADORA AUTOMATICA GOUDKUIL 755</t>
  </si>
  <si>
    <t>TAGBR00073</t>
  </si>
  <si>
    <t>SECADORA AUTOMATICA GOUDKUIL 756</t>
  </si>
  <si>
    <t>TAGBR00074</t>
  </si>
  <si>
    <t>SECADORA AUTOMATICA GOUDKUIL 757</t>
  </si>
  <si>
    <t>TAGBR00075</t>
  </si>
  <si>
    <t>SECADORA AUTOMATICA GOUDKUIL 758</t>
  </si>
  <si>
    <t>TAGBR00076</t>
  </si>
  <si>
    <t>SECADORA AUTOMATICA GOUDKUIL 759 / ESTEIRA P701</t>
  </si>
  <si>
    <t>TAGBR00077</t>
  </si>
  <si>
    <t>SECADORA AUTOMATICA GOUDKUIL 760 / ESTEIRA P702</t>
  </si>
  <si>
    <t>TAGBR00078</t>
  </si>
  <si>
    <t>SECADORA AUTOMATICA GOUDKUIL 761 / ESTEIRA P703</t>
  </si>
  <si>
    <t>TAGBR00079</t>
  </si>
  <si>
    <t>SECADORA AUTOMATICA GOUDKUIL 762 / ESTEIRA P705</t>
  </si>
  <si>
    <t>TAGBR00080</t>
  </si>
  <si>
    <t>SECADOR DE PISO 2 KANNEGIESSER</t>
  </si>
  <si>
    <t>KANNEGIESSER</t>
  </si>
  <si>
    <t>TAGBR00081</t>
  </si>
  <si>
    <t>Elevador P653 WSP</t>
  </si>
  <si>
    <t>TAGBR00082</t>
  </si>
  <si>
    <t>Elevador P652 WSP</t>
  </si>
  <si>
    <t>TAGBR00083</t>
  </si>
  <si>
    <t>Elevador P651 WSP</t>
  </si>
  <si>
    <t>TAGBR00084</t>
  </si>
  <si>
    <t>Elevador P564 WSP</t>
  </si>
  <si>
    <t>TAGBR00085</t>
  </si>
  <si>
    <t>Sorting 02</t>
  </si>
  <si>
    <t>TAGBR00086</t>
  </si>
  <si>
    <t>Sorting 01</t>
  </si>
  <si>
    <t>TAGBR00087</t>
  </si>
  <si>
    <t>Passador Lapauw 01</t>
  </si>
  <si>
    <t>LAPAUW</t>
  </si>
  <si>
    <t>TAGBR00088</t>
  </si>
  <si>
    <t>Passador Kannegiesser 04</t>
  </si>
  <si>
    <t>TAGBR00089</t>
  </si>
  <si>
    <t>Passador Kannegiesser 03</t>
  </si>
  <si>
    <t>TAGBR00090</t>
  </si>
  <si>
    <t>Passador Lapauw 02</t>
  </si>
  <si>
    <t>TAGBR00091</t>
  </si>
  <si>
    <t>Dobrador Jensen 01</t>
  </si>
  <si>
    <t>TAGBR00092</t>
  </si>
  <si>
    <t>Dobrador Kannegiesser 04</t>
  </si>
  <si>
    <t>TAGBR00093</t>
  </si>
  <si>
    <t>Dobrador Kannegiesser 03</t>
  </si>
  <si>
    <t>TAGBR00094</t>
  </si>
  <si>
    <t>Dobrador Kannegiesser 02</t>
  </si>
  <si>
    <t>TAGBR00095</t>
  </si>
  <si>
    <t>Alimentador Jensen 01</t>
  </si>
  <si>
    <t>TAGBR00096</t>
  </si>
  <si>
    <t>Alimentador Kannegiesser 02</t>
  </si>
  <si>
    <t>TAGBR00097</t>
  </si>
  <si>
    <t>Alimentador Kannegiesser 03</t>
  </si>
  <si>
    <t>TAGBR00098</t>
  </si>
  <si>
    <t>Alimentador Kannegiesser 04</t>
  </si>
  <si>
    <t>TAGBR00099</t>
  </si>
  <si>
    <t>SELADORA DALMAK 01</t>
  </si>
  <si>
    <t>DALMAK</t>
  </si>
  <si>
    <t>TAGBR00100</t>
  </si>
  <si>
    <t>SELADORA DALMAK 02</t>
  </si>
  <si>
    <t>TAGBR00101</t>
  </si>
  <si>
    <t>Prensa P564 Kannegiesser</t>
  </si>
  <si>
    <t>TAGBR00102</t>
  </si>
  <si>
    <t>Prensa P563 Kannegiesser</t>
  </si>
  <si>
    <t>TAGBR00103</t>
  </si>
  <si>
    <t>Prensa P562 Lavatec</t>
  </si>
  <si>
    <t>TAGBR00104</t>
  </si>
  <si>
    <t>Prensa P561 Lavatec</t>
  </si>
  <si>
    <t>TAGBR00105</t>
  </si>
  <si>
    <t>BOMBA SUBMERSA EQUALIZAÇÃO 1</t>
  </si>
  <si>
    <t>KSB</t>
  </si>
  <si>
    <t>TAGBR00106</t>
  </si>
  <si>
    <t>BOMBAS DE INCENDIO</t>
  </si>
  <si>
    <t>TAGBR00107</t>
  </si>
  <si>
    <t>BOMBA LODO 2</t>
  </si>
  <si>
    <t>SCHNEIDER</t>
  </si>
  <si>
    <t>TAGBR00108</t>
  </si>
  <si>
    <t>BOMBA LODO 1</t>
  </si>
  <si>
    <t>TAGBR00109</t>
  </si>
  <si>
    <t>BOMBA EXTRATORAS 2</t>
  </si>
  <si>
    <t>TAGBR00110</t>
  </si>
  <si>
    <t>BOMBA EXTRATORAS 1</t>
  </si>
  <si>
    <t>TAGBR00111</t>
  </si>
  <si>
    <t>BOMBA TUNEL 2</t>
  </si>
  <si>
    <t>TAGBR00112</t>
  </si>
  <si>
    <t>BOMBA AGUA OSMOSE 02</t>
  </si>
  <si>
    <t>TAGBR00113</t>
  </si>
  <si>
    <t>BOMBA AGUA OSMOSE 01</t>
  </si>
  <si>
    <t>TAGBR00114</t>
  </si>
  <si>
    <t>BOMBA 4 ALIMENTAÇÃO CALDEIRA 2</t>
  </si>
  <si>
    <t>GRUNDFOS</t>
  </si>
  <si>
    <t>TAGBR00115</t>
  </si>
  <si>
    <t>BOMBA 3 ALIMENTAÇÃO CALDEIRA 2</t>
  </si>
  <si>
    <t>TAGBR00116</t>
  </si>
  <si>
    <t>BOMBA 2 ALIMENTAÇÃO CALDEIRA 1</t>
  </si>
  <si>
    <t>TAGBR00117</t>
  </si>
  <si>
    <t>BOMBA 1 ALIMENTAÇÃO CALDEIRA 1</t>
  </si>
  <si>
    <t>TAGBR00118</t>
  </si>
  <si>
    <t>BOMBA KSB FILTRO 02</t>
  </si>
  <si>
    <t>TAGBR00119</t>
  </si>
  <si>
    <t>BOMBA KSB FILTRO 01</t>
  </si>
  <si>
    <t>TAGBR00121</t>
  </si>
  <si>
    <t>Elevador de Bags P1152</t>
  </si>
  <si>
    <t>TAGBR00122</t>
  </si>
  <si>
    <t>Elevador de Bags P1151</t>
  </si>
  <si>
    <t>TAGBR00123</t>
  </si>
  <si>
    <t>ELEVADOR DE BAGS P 1271</t>
  </si>
  <si>
    <t>TAGBR00124</t>
  </si>
  <si>
    <t>Elevador de Bags P102</t>
  </si>
  <si>
    <t>TAGBR00125</t>
  </si>
  <si>
    <t>Elevador de Bags P111</t>
  </si>
  <si>
    <t>TAGBR00126</t>
  </si>
  <si>
    <t>Elevador de Bags P112</t>
  </si>
  <si>
    <t>TAGBR00127</t>
  </si>
  <si>
    <t>Elevador de Bags P152</t>
  </si>
  <si>
    <t>TAGBR00128</t>
  </si>
  <si>
    <t>Elevador de Bags P151</t>
  </si>
  <si>
    <t>TAGBR00129</t>
  </si>
  <si>
    <t>Elevador de Bags P161</t>
  </si>
  <si>
    <t>TAGBR00130</t>
  </si>
  <si>
    <t>Elevador de Bags P1162</t>
  </si>
  <si>
    <t>TAGBR00131</t>
  </si>
  <si>
    <t>Elevador de Bags P1161</t>
  </si>
  <si>
    <t>TAGBR00132</t>
  </si>
  <si>
    <t>ELEVADOR DE BAGS P 1203</t>
  </si>
  <si>
    <t>TAGBR00133</t>
  </si>
  <si>
    <t>ELEVADOR DE BAGS P 303</t>
  </si>
  <si>
    <t>TAGBR00134</t>
  </si>
  <si>
    <t>ELEVADOR DE BAGS P1202 - BAL1</t>
  </si>
  <si>
    <t>TAGBR00135</t>
  </si>
  <si>
    <t>ESTAÇÃO DE BAGS P1251</t>
  </si>
  <si>
    <t>TAGBR00136</t>
  </si>
  <si>
    <t>Elevador de Bags P101</t>
  </si>
  <si>
    <t>TAGBR00137</t>
  </si>
  <si>
    <t>Elevador de Bags P1153</t>
  </si>
  <si>
    <t>TAGBR00140</t>
  </si>
  <si>
    <t>Dobrador Biko Giulia 02</t>
  </si>
  <si>
    <t>BIKO</t>
  </si>
  <si>
    <t>TAGBR00141</t>
  </si>
  <si>
    <t>Dobrador de Toalhas Prima Folder</t>
  </si>
  <si>
    <t>PRIMA FOLDER</t>
  </si>
  <si>
    <t>TAGBR00142</t>
  </si>
  <si>
    <t>Dobrador Biko Giulia 01</t>
  </si>
  <si>
    <t>TAGBR00143</t>
  </si>
  <si>
    <t>Extratora Suzuki 01</t>
  </si>
  <si>
    <t>SUZUKI</t>
  </si>
  <si>
    <t>TAGBR00144</t>
  </si>
  <si>
    <t>Extratora Suzuki 04</t>
  </si>
  <si>
    <t>TAGBR00145</t>
  </si>
  <si>
    <t>Extratora Suzuki 03</t>
  </si>
  <si>
    <t>TAGBR00146</t>
  </si>
  <si>
    <t>Extratora Suzuki 02</t>
  </si>
  <si>
    <t>TAGBR00147</t>
  </si>
  <si>
    <t>PICADOR DE LENHA</t>
  </si>
  <si>
    <t>PLANALTO</t>
  </si>
  <si>
    <t>TAGBR00148</t>
  </si>
  <si>
    <t>GALPÃO</t>
  </si>
  <si>
    <t/>
  </si>
  <si>
    <t>LAVADOR DE GAIOLAS</t>
  </si>
  <si>
    <t>COMPRESSOR SCHULZ CSL20BR</t>
  </si>
  <si>
    <t>SCHULZ</t>
  </si>
  <si>
    <t>SECADORA DE PISO MALTEC 5</t>
  </si>
  <si>
    <t>MALTEC</t>
  </si>
  <si>
    <t>SECADORA DE PISO MALTEC 6</t>
  </si>
  <si>
    <t>BOMBA DE COMBUSTIVEL GILBARCO 01</t>
  </si>
  <si>
    <t>GILBARCO</t>
  </si>
  <si>
    <t>FOLTEX 1</t>
  </si>
  <si>
    <t>FOLTEX</t>
  </si>
  <si>
    <t>FOLTEX 2</t>
  </si>
  <si>
    <t>%</t>
  </si>
  <si>
    <t>Qtde</t>
  </si>
  <si>
    <t>Classif</t>
  </si>
  <si>
    <t>AA</t>
  </si>
  <si>
    <t>A</t>
  </si>
  <si>
    <t>B</t>
  </si>
  <si>
    <t>Aprovado: Responsavel Produção</t>
  </si>
  <si>
    <t>Data</t>
  </si>
  <si>
    <t>C</t>
  </si>
  <si>
    <t>Total</t>
  </si>
  <si>
    <t>Aprovado: Responsavel Qualidade</t>
  </si>
  <si>
    <t>Aprovado: Responsavel Segurança</t>
  </si>
  <si>
    <t>Analisado por:</t>
  </si>
  <si>
    <t xml:space="preserve">Classificação da Maquina - Critério </t>
  </si>
  <si>
    <t>Equipamento :</t>
  </si>
  <si>
    <t>Área :</t>
  </si>
  <si>
    <t>Código :</t>
  </si>
  <si>
    <t>Operação :</t>
  </si>
  <si>
    <t>Classificação</t>
  </si>
  <si>
    <t>Descrição</t>
  </si>
  <si>
    <t>nº</t>
  </si>
  <si>
    <t>Item</t>
  </si>
  <si>
    <t>Linha Guia para Pontuação</t>
  </si>
  <si>
    <t>Pontos</t>
  </si>
  <si>
    <r>
      <t xml:space="preserve">Tempo de conserto
</t>
    </r>
    <r>
      <rPr>
        <b/>
        <sz val="10"/>
        <color indexed="18"/>
        <rFont val="Arial"/>
        <family val="2"/>
      </rPr>
      <t>(T)</t>
    </r>
  </si>
  <si>
    <t>Tempo médio de parada de máquina</t>
  </si>
  <si>
    <t>1</t>
  </si>
  <si>
    <t xml:space="preserve">Tempo médio de Reparo da Máquina (MTTR). </t>
  </si>
  <si>
    <t>&lt;0,5h = 1 pt
&gt;0,5h até 1h = 5 pts
&gt;1h até 3h = 15 pts
&gt;3h = 35 pts</t>
  </si>
  <si>
    <r>
      <t xml:space="preserve">Grau de influência
</t>
    </r>
    <r>
      <rPr>
        <b/>
        <sz val="10"/>
        <color indexed="18"/>
        <rFont val="Arial"/>
        <family val="2"/>
      </rPr>
      <t>(G)</t>
    </r>
  </si>
  <si>
    <t>Efeito sobre outras máquinas/aparelhos/equipamento em termos de segurança, produção, ambiente e custos</t>
  </si>
  <si>
    <t>2</t>
  </si>
  <si>
    <t>Uso da máquina/aparelho/equipamento</t>
  </si>
  <si>
    <t>1 turno = 1 pt 
2 turnos = 3 pts 
3 turnos = 5 pts</t>
  </si>
  <si>
    <t>3</t>
  </si>
  <si>
    <t>Efeito sobre a qualidade do produto
(KPI de qualidade)</t>
  </si>
  <si>
    <t xml:space="preserve">Grande efeito/ Impacto = 10 pts   
Médio efeito/ Impacto = 5 pts 
Baixo efeito/ Impacto = 1 pt
Nenhum efeito/ Impacto = 0 </t>
  </si>
  <si>
    <t>4</t>
  </si>
  <si>
    <t>Impacto sobre a produção
(quantidade de kg/hora)</t>
  </si>
  <si>
    <t>Alta Produção (Alto Impacto) = 5 pts    
Média Produção (Medio Impacto) = 3 pts 
Baixa Produção (Baixo Impacto) = 1 pt</t>
  </si>
  <si>
    <t>5</t>
  </si>
  <si>
    <t>Impacto da avaria na segurança das pessoas</t>
  </si>
  <si>
    <t>Alto risco = 5 pts
Baixo risco = 3 pts
Nenhum risco = 1 pt</t>
  </si>
  <si>
    <t>6</t>
  </si>
  <si>
    <t>Impacto da avaria no meio ambiente</t>
  </si>
  <si>
    <t>Alto Impacto = 10 pts    
Medio Impacto = 5 pts 
Nenhum Impacto = 1 pt</t>
  </si>
  <si>
    <r>
      <t xml:space="preserve">Probabilidade de defeito
</t>
    </r>
    <r>
      <rPr>
        <b/>
        <sz val="10"/>
        <color indexed="18"/>
        <rFont val="Arial"/>
        <family val="2"/>
      </rPr>
      <t>(P)</t>
    </r>
  </si>
  <si>
    <t>Taxa de falha do equipamento baseado no dado histórico 2021.</t>
  </si>
  <si>
    <t>7</t>
  </si>
  <si>
    <t>Taxa de Falha
(λ%)</t>
  </si>
  <si>
    <t>&lt;0,5% = 1 pt
&gt;0,5% até 1% = 5 pts
&gt;1% até 3% = 15 pts
&gt;3% = 35 pts</t>
  </si>
  <si>
    <r>
      <t xml:space="preserve">Criticidade do maquinário
</t>
    </r>
    <r>
      <rPr>
        <b/>
        <sz val="10"/>
        <color indexed="18"/>
        <rFont val="Arial"/>
        <family val="2"/>
      </rPr>
      <t>(C)</t>
    </r>
  </si>
  <si>
    <t>Baseado em criticidades do maquinário/ equipamento/aparelho em relação às consequentes das paradas</t>
  </si>
  <si>
    <t>8</t>
  </si>
  <si>
    <t>Criticidade do maquinário/equipamento/aparelho em relação à parada</t>
  </si>
  <si>
    <t>20 pts = não tem impacto 
40 pts = impacto baixo (parada 25% do fluxo)
60 pts = impacto moderado (parada de 50% do fluxo)
80 pts = impacto alto (parada 100% do fluxo)
100 pts = Alto impacto para o negocio (parada da fábrica)</t>
  </si>
  <si>
    <t>Pontuação total:</t>
  </si>
  <si>
    <t xml:space="preserve">Classificação: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</si>
</sst>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sz val="9"/>
      <name val="Arial"/>
      <family val="2"/>
    </font>
    <font>
      <b/>
      <sz val="18"/>
      <color indexed="18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9"/>
      <color indexed="18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2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right" vertical="center" indent="2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right" vertical="center" indent="2"/>
    </xf>
    <xf numFmtId="0" fontId="0" fillId="0" borderId="4" xfId="0" applyBorder="1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 indent="1"/>
    </xf>
    <xf numFmtId="0" fontId="2" fillId="0" borderId="1" xfId="0" applyFont="1" applyBorder="1" applyAlignment="1">
      <alignment horizontal="right" vertical="center" indent="1"/>
    </xf>
    <xf numFmtId="0" fontId="5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3" borderId="9" xfId="0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6" borderId="4" xfId="0" applyFill="1" applyBorder="1" applyProtection="1">
      <protection locked="0"/>
    </xf>
    <xf numFmtId="0" fontId="0" fillId="3" borderId="1" xfId="0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left" vertical="center" indent="1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5" fillId="2" borderId="12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14" fontId="5" fillId="2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left" vertical="center" indent="1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9" fillId="3" borderId="13" xfId="0" applyNumberFormat="1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center" vertical="center" wrapText="1"/>
    </xf>
    <xf numFmtId="49" fontId="9" fillId="3" borderId="14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0" fontId="7" fillId="3" borderId="3" xfId="0" applyFont="1" applyFill="1" applyBorder="1" applyAlignment="1"/>
    <xf numFmtId="0" fontId="7" fillId="3" borderId="4" xfId="0" applyFont="1" applyFill="1" applyBorder="1" applyAlignment="1"/>
  </cellXfs>
  <cellStyles count="1">
    <cellStyle name="Normal" xfId="0" builtinId="0"/>
  </cellStyles>
  <dxfs count="6">
    <dxf>
      <font>
        <condense val="0"/>
        <extend val="0"/>
        <color indexed="8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8"/>
      </font>
      <fill>
        <patternFill>
          <bgColor indexed="11"/>
        </patternFill>
      </fill>
    </dxf>
    <dxf>
      <font>
        <condense val="0"/>
        <extend val="0"/>
        <color indexed="8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114300</xdr:rowOff>
    </xdr:from>
    <xdr:to>
      <xdr:col>2</xdr:col>
      <xdr:colOff>676275</xdr:colOff>
      <xdr:row>2</xdr:row>
      <xdr:rowOff>152400</xdr:rowOff>
    </xdr:to>
    <xdr:pic>
      <xdr:nvPicPr>
        <xdr:cNvPr id="14392" name="Imagem 3">
          <a:extLst>
            <a:ext uri="{FF2B5EF4-FFF2-40B4-BE49-F238E27FC236}">
              <a16:creationId xmlns:a16="http://schemas.microsoft.com/office/drawing/2014/main" id="{A2E7FDB0-D1C6-C701-2E46-6A975396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90500"/>
          <a:ext cx="8953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76200</xdr:rowOff>
    </xdr:from>
    <xdr:to>
      <xdr:col>1</xdr:col>
      <xdr:colOff>1076325</xdr:colOff>
      <xdr:row>1</xdr:row>
      <xdr:rowOff>504825</xdr:rowOff>
    </xdr:to>
    <xdr:pic>
      <xdr:nvPicPr>
        <xdr:cNvPr id="15388" name="Imagem 3">
          <a:extLst>
            <a:ext uri="{FF2B5EF4-FFF2-40B4-BE49-F238E27FC236}">
              <a16:creationId xmlns:a16="http://schemas.microsoft.com/office/drawing/2014/main" id="{990C2212-96F1-E916-959A-A79A3674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33350"/>
          <a:ext cx="8953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1</xdr:row>
      <xdr:rowOff>76200</xdr:rowOff>
    </xdr:from>
    <xdr:to>
      <xdr:col>1</xdr:col>
      <xdr:colOff>1076325</xdr:colOff>
      <xdr:row>1</xdr:row>
      <xdr:rowOff>504825</xdr:rowOff>
    </xdr:to>
    <xdr:pic>
      <xdr:nvPicPr>
        <xdr:cNvPr id="15389" name="Imagem 3">
          <a:extLst>
            <a:ext uri="{FF2B5EF4-FFF2-40B4-BE49-F238E27FC236}">
              <a16:creationId xmlns:a16="http://schemas.microsoft.com/office/drawing/2014/main" id="{D3759DC5-85C9-5484-3801-C5A67BED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33350"/>
          <a:ext cx="8953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1"/>
  <sheetViews>
    <sheetView showGridLines="0" tabSelected="1" topLeftCell="A142" zoomScale="70" zoomScaleNormal="70" workbookViewId="0">
      <selection activeCell="E159" sqref="E159"/>
    </sheetView>
  </sheetViews>
  <sheetFormatPr defaultColWidth="0" defaultRowHeight="0" customHeight="1" zeroHeight="1"/>
  <cols>
    <col min="1" max="1" width="1.140625" customWidth="1"/>
    <col min="2" max="2" width="9.140625" customWidth="1"/>
    <col min="3" max="3" width="14.7109375" customWidth="1"/>
    <col min="4" max="4" width="64.42578125" bestFit="1" customWidth="1"/>
    <col min="5" max="5" width="22.28515625" bestFit="1" customWidth="1"/>
    <col min="6" max="6" width="13" customWidth="1"/>
    <col min="7" max="11" width="5.140625" customWidth="1"/>
    <col min="12" max="12" width="14.42578125" customWidth="1"/>
    <col min="13" max="14" width="10.85546875" customWidth="1"/>
    <col min="15" max="15" width="9.140625" customWidth="1"/>
    <col min="16" max="16" width="1" customWidth="1"/>
  </cols>
  <sheetData>
    <row r="1" spans="2:15" ht="6" customHeight="1"/>
    <row r="2" spans="2:15" ht="30.75" customHeight="1"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2:15" ht="30.75" customHeight="1"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</row>
    <row r="4" spans="2:15" ht="43.5" customHeight="1">
      <c r="B4" s="65" t="s">
        <v>1</v>
      </c>
      <c r="C4" s="67" t="s">
        <v>2</v>
      </c>
      <c r="D4" s="65" t="s">
        <v>3</v>
      </c>
      <c r="E4" s="65" t="s">
        <v>4</v>
      </c>
      <c r="F4" s="17" t="s">
        <v>5</v>
      </c>
      <c r="G4" s="69" t="s">
        <v>6</v>
      </c>
      <c r="H4" s="81"/>
      <c r="I4" s="81"/>
      <c r="J4" s="81"/>
      <c r="K4" s="82"/>
      <c r="L4" s="36" t="s">
        <v>7</v>
      </c>
      <c r="M4" s="17" t="s">
        <v>8</v>
      </c>
      <c r="N4" s="70" t="s">
        <v>9</v>
      </c>
      <c r="O4" s="70" t="s">
        <v>10</v>
      </c>
    </row>
    <row r="5" spans="2:15" ht="24.75" customHeight="1">
      <c r="B5" s="66"/>
      <c r="C5" s="68"/>
      <c r="D5" s="66"/>
      <c r="E5" s="66"/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6</v>
      </c>
      <c r="L5" s="3">
        <v>7</v>
      </c>
      <c r="M5" s="3">
        <v>8</v>
      </c>
      <c r="N5" s="71"/>
      <c r="O5" s="71"/>
    </row>
    <row r="6" spans="2:15" s="5" customFormat="1" ht="21" customHeight="1">
      <c r="B6" s="2">
        <v>1</v>
      </c>
      <c r="C6" s="39" t="s">
        <v>11</v>
      </c>
      <c r="D6" s="39" t="s">
        <v>12</v>
      </c>
      <c r="E6" s="39" t="s">
        <v>13</v>
      </c>
      <c r="F6" s="1">
        <v>35</v>
      </c>
      <c r="G6" s="1">
        <v>3</v>
      </c>
      <c r="H6" s="1">
        <v>10</v>
      </c>
      <c r="I6" s="1">
        <v>5</v>
      </c>
      <c r="J6" s="1">
        <v>5</v>
      </c>
      <c r="K6" s="1">
        <v>10</v>
      </c>
      <c r="L6" s="1">
        <v>35</v>
      </c>
      <c r="M6" s="1">
        <v>100</v>
      </c>
      <c r="N6" s="1">
        <f t="shared" ref="N6:N69" si="0">SUBTOTAL(9,F6:M6)</f>
        <v>203</v>
      </c>
      <c r="O6" s="6" t="str">
        <f>IF(N6=0,0,IF(AND(N6&gt;=150,N6&lt;=205),"AA",IF(AND(N6&gt;=100,N6&lt;=149),"A",IF(AND(N6&gt;=40,N6&lt;=99),"B",IF(N6&lt;=41,"C","Erro")))))</f>
        <v>AA</v>
      </c>
    </row>
    <row r="7" spans="2:15" s="5" customFormat="1" ht="21" customHeight="1">
      <c r="B7" s="2">
        <v>2</v>
      </c>
      <c r="C7" s="39" t="s">
        <v>14</v>
      </c>
      <c r="D7" s="39" t="s">
        <v>15</v>
      </c>
      <c r="E7" s="39" t="s">
        <v>13</v>
      </c>
      <c r="F7" s="1">
        <v>35</v>
      </c>
      <c r="G7" s="1">
        <v>3</v>
      </c>
      <c r="H7" s="1">
        <v>10</v>
      </c>
      <c r="I7" s="1">
        <v>5</v>
      </c>
      <c r="J7" s="1">
        <v>5</v>
      </c>
      <c r="K7" s="1">
        <v>10</v>
      </c>
      <c r="L7" s="1">
        <v>35</v>
      </c>
      <c r="M7" s="1">
        <v>100</v>
      </c>
      <c r="N7" s="1">
        <f t="shared" si="0"/>
        <v>203</v>
      </c>
      <c r="O7" s="6" t="str">
        <f t="shared" ref="O7:O70" si="1">IF(N7=0,0,IF(AND(N7&gt;=150,N7&lt;=205),"AA",IF(AND(N7&gt;=100,N7&lt;=149),"A",IF(AND(N7&gt;=40,N7&lt;=99),"B",IF(N7&lt;=41,"C","Erro")))))</f>
        <v>AA</v>
      </c>
    </row>
    <row r="8" spans="2:15" s="5" customFormat="1" ht="21" customHeight="1">
      <c r="B8" s="2">
        <v>3</v>
      </c>
      <c r="C8" s="39" t="s">
        <v>16</v>
      </c>
      <c r="D8" s="39" t="s">
        <v>17</v>
      </c>
      <c r="E8" s="39" t="s">
        <v>18</v>
      </c>
      <c r="F8" s="1">
        <v>1</v>
      </c>
      <c r="G8" s="1">
        <v>3</v>
      </c>
      <c r="H8" s="1">
        <v>1</v>
      </c>
      <c r="I8" s="1">
        <v>5</v>
      </c>
      <c r="J8" s="1">
        <v>1</v>
      </c>
      <c r="K8" s="1">
        <v>1</v>
      </c>
      <c r="L8" s="1">
        <v>1</v>
      </c>
      <c r="M8" s="1">
        <v>60</v>
      </c>
      <c r="N8" s="1">
        <f t="shared" si="0"/>
        <v>73</v>
      </c>
      <c r="O8" s="6" t="str">
        <f t="shared" si="1"/>
        <v>B</v>
      </c>
    </row>
    <row r="9" spans="2:15" s="5" customFormat="1" ht="21" customHeight="1">
      <c r="B9" s="2">
        <v>4</v>
      </c>
      <c r="C9" s="39" t="s">
        <v>19</v>
      </c>
      <c r="D9" s="39" t="s">
        <v>20</v>
      </c>
      <c r="E9" s="39" t="s">
        <v>18</v>
      </c>
      <c r="F9" s="1">
        <v>1</v>
      </c>
      <c r="G9" s="1">
        <v>3</v>
      </c>
      <c r="H9" s="1">
        <v>1</v>
      </c>
      <c r="I9" s="1">
        <v>5</v>
      </c>
      <c r="J9" s="1">
        <v>1</v>
      </c>
      <c r="K9" s="1">
        <v>1</v>
      </c>
      <c r="L9" s="1">
        <v>1</v>
      </c>
      <c r="M9" s="1">
        <v>60</v>
      </c>
      <c r="N9" s="1">
        <f t="shared" si="0"/>
        <v>73</v>
      </c>
      <c r="O9" s="6" t="str">
        <f t="shared" si="1"/>
        <v>B</v>
      </c>
    </row>
    <row r="10" spans="2:15" s="5" customFormat="1" ht="21" customHeight="1">
      <c r="B10" s="2">
        <v>5</v>
      </c>
      <c r="C10" s="39" t="s">
        <v>21</v>
      </c>
      <c r="D10" s="39" t="s">
        <v>22</v>
      </c>
      <c r="E10" s="39" t="s">
        <v>18</v>
      </c>
      <c r="F10" s="1">
        <v>1</v>
      </c>
      <c r="G10" s="1">
        <v>3</v>
      </c>
      <c r="H10" s="1">
        <v>1</v>
      </c>
      <c r="I10" s="1">
        <v>5</v>
      </c>
      <c r="J10" s="1">
        <v>1</v>
      </c>
      <c r="K10" s="1">
        <v>1</v>
      </c>
      <c r="L10" s="1">
        <v>1</v>
      </c>
      <c r="M10" s="1">
        <v>60</v>
      </c>
      <c r="N10" s="1">
        <f t="shared" si="0"/>
        <v>73</v>
      </c>
      <c r="O10" s="6" t="str">
        <f t="shared" si="1"/>
        <v>B</v>
      </c>
    </row>
    <row r="11" spans="2:15" s="5" customFormat="1" ht="21" customHeight="1">
      <c r="B11" s="2">
        <v>6</v>
      </c>
      <c r="C11" s="39" t="s">
        <v>23</v>
      </c>
      <c r="D11" s="39" t="s">
        <v>24</v>
      </c>
      <c r="E11" s="39" t="s">
        <v>18</v>
      </c>
      <c r="F11" s="1">
        <v>1</v>
      </c>
      <c r="G11" s="1">
        <v>3</v>
      </c>
      <c r="H11" s="1">
        <v>1</v>
      </c>
      <c r="I11" s="1">
        <v>5</v>
      </c>
      <c r="J11" s="1">
        <v>1</v>
      </c>
      <c r="K11" s="1">
        <v>1</v>
      </c>
      <c r="L11" s="1">
        <v>1</v>
      </c>
      <c r="M11" s="1">
        <v>60</v>
      </c>
      <c r="N11" s="1">
        <f t="shared" si="0"/>
        <v>73</v>
      </c>
      <c r="O11" s="6" t="str">
        <f t="shared" si="1"/>
        <v>B</v>
      </c>
    </row>
    <row r="12" spans="2:15" s="5" customFormat="1" ht="21" customHeight="1">
      <c r="B12" s="2">
        <v>7</v>
      </c>
      <c r="C12" s="39" t="s">
        <v>25</v>
      </c>
      <c r="D12" s="39" t="s">
        <v>26</v>
      </c>
      <c r="E12" s="39" t="s">
        <v>18</v>
      </c>
      <c r="F12" s="1">
        <v>1</v>
      </c>
      <c r="G12" s="1">
        <v>3</v>
      </c>
      <c r="H12" s="1">
        <v>1</v>
      </c>
      <c r="I12" s="1">
        <v>5</v>
      </c>
      <c r="J12" s="1">
        <v>1</v>
      </c>
      <c r="K12" s="1">
        <v>1</v>
      </c>
      <c r="L12" s="1">
        <v>1</v>
      </c>
      <c r="M12" s="1">
        <v>60</v>
      </c>
      <c r="N12" s="1">
        <f t="shared" si="0"/>
        <v>73</v>
      </c>
      <c r="O12" s="6" t="str">
        <f t="shared" si="1"/>
        <v>B</v>
      </c>
    </row>
    <row r="13" spans="2:15" s="5" customFormat="1" ht="21" customHeight="1">
      <c r="B13" s="2">
        <v>8</v>
      </c>
      <c r="C13" s="39" t="s">
        <v>27</v>
      </c>
      <c r="D13" s="39" t="s">
        <v>28</v>
      </c>
      <c r="E13" s="39" t="s">
        <v>29</v>
      </c>
      <c r="F13" s="1">
        <v>15</v>
      </c>
      <c r="G13" s="1">
        <v>3</v>
      </c>
      <c r="H13" s="1">
        <v>10</v>
      </c>
      <c r="I13" s="1">
        <v>3</v>
      </c>
      <c r="J13" s="1">
        <v>5</v>
      </c>
      <c r="K13" s="1">
        <v>10</v>
      </c>
      <c r="L13" s="1">
        <v>5</v>
      </c>
      <c r="M13" s="1">
        <v>40</v>
      </c>
      <c r="N13" s="1">
        <f t="shared" si="0"/>
        <v>91</v>
      </c>
      <c r="O13" s="6" t="str">
        <f t="shared" si="1"/>
        <v>B</v>
      </c>
    </row>
    <row r="14" spans="2:15" s="5" customFormat="1" ht="21" customHeight="1">
      <c r="B14" s="2">
        <v>9</v>
      </c>
      <c r="C14" s="39" t="s">
        <v>30</v>
      </c>
      <c r="D14" s="39" t="s">
        <v>31</v>
      </c>
      <c r="E14" s="39" t="s">
        <v>29</v>
      </c>
      <c r="F14" s="1">
        <v>15</v>
      </c>
      <c r="G14" s="1">
        <v>3</v>
      </c>
      <c r="H14" s="1">
        <v>10</v>
      </c>
      <c r="I14" s="1">
        <v>3</v>
      </c>
      <c r="J14" s="1">
        <v>5</v>
      </c>
      <c r="K14" s="1">
        <v>10</v>
      </c>
      <c r="L14" s="1">
        <v>5</v>
      </c>
      <c r="M14" s="1">
        <v>40</v>
      </c>
      <c r="N14" s="1">
        <f t="shared" si="0"/>
        <v>91</v>
      </c>
      <c r="O14" s="6" t="str">
        <f t="shared" si="1"/>
        <v>B</v>
      </c>
    </row>
    <row r="15" spans="2:15" s="5" customFormat="1" ht="21" customHeight="1">
      <c r="B15" s="2">
        <v>10</v>
      </c>
      <c r="C15" s="39" t="s">
        <v>32</v>
      </c>
      <c r="D15" s="39" t="s">
        <v>33</v>
      </c>
      <c r="E15" s="39" t="s">
        <v>29</v>
      </c>
      <c r="F15" s="1">
        <v>35</v>
      </c>
      <c r="G15" s="1">
        <v>3</v>
      </c>
      <c r="H15" s="1">
        <v>10</v>
      </c>
      <c r="I15" s="1">
        <v>5</v>
      </c>
      <c r="J15" s="1">
        <v>5</v>
      </c>
      <c r="K15" s="1">
        <v>10</v>
      </c>
      <c r="L15" s="1">
        <v>1</v>
      </c>
      <c r="M15" s="1">
        <v>80</v>
      </c>
      <c r="N15" s="1">
        <f t="shared" si="0"/>
        <v>149</v>
      </c>
      <c r="O15" s="6" t="str">
        <f t="shared" si="1"/>
        <v>A</v>
      </c>
    </row>
    <row r="16" spans="2:15" s="5" customFormat="1" ht="21" customHeight="1">
      <c r="B16" s="2">
        <v>11</v>
      </c>
      <c r="C16" s="39" t="s">
        <v>34</v>
      </c>
      <c r="D16" s="39" t="s">
        <v>35</v>
      </c>
      <c r="E16" s="39" t="s">
        <v>36</v>
      </c>
      <c r="F16" s="1">
        <v>35</v>
      </c>
      <c r="G16" s="1">
        <v>3</v>
      </c>
      <c r="H16" s="1">
        <v>10</v>
      </c>
      <c r="I16" s="1">
        <v>5</v>
      </c>
      <c r="J16" s="1">
        <v>5</v>
      </c>
      <c r="K16" s="1">
        <v>10</v>
      </c>
      <c r="L16" s="1">
        <v>1</v>
      </c>
      <c r="M16" s="1">
        <v>80</v>
      </c>
      <c r="N16" s="1">
        <f t="shared" si="0"/>
        <v>149</v>
      </c>
      <c r="O16" s="6" t="str">
        <f t="shared" si="1"/>
        <v>A</v>
      </c>
    </row>
    <row r="17" spans="2:15" s="5" customFormat="1" ht="21" customHeight="1">
      <c r="B17" s="2">
        <v>12</v>
      </c>
      <c r="C17" s="39" t="s">
        <v>37</v>
      </c>
      <c r="D17" s="39" t="s">
        <v>38</v>
      </c>
      <c r="E17" s="39" t="s">
        <v>39</v>
      </c>
      <c r="F17" s="1">
        <v>35</v>
      </c>
      <c r="G17" s="1">
        <v>3</v>
      </c>
      <c r="H17" s="1">
        <v>10</v>
      </c>
      <c r="I17" s="1">
        <v>5</v>
      </c>
      <c r="J17" s="1">
        <v>5</v>
      </c>
      <c r="K17" s="1">
        <v>10</v>
      </c>
      <c r="L17" s="1">
        <v>5</v>
      </c>
      <c r="M17" s="1">
        <v>100</v>
      </c>
      <c r="N17" s="1">
        <f t="shared" si="0"/>
        <v>173</v>
      </c>
      <c r="O17" s="6" t="str">
        <f t="shared" si="1"/>
        <v>AA</v>
      </c>
    </row>
    <row r="18" spans="2:15" s="5" customFormat="1" ht="21" customHeight="1">
      <c r="B18" s="2">
        <v>13</v>
      </c>
      <c r="C18" s="39" t="s">
        <v>40</v>
      </c>
      <c r="D18" s="39" t="s">
        <v>41</v>
      </c>
      <c r="E18" s="39" t="s">
        <v>42</v>
      </c>
      <c r="F18" s="1">
        <v>35</v>
      </c>
      <c r="G18" s="1">
        <v>3</v>
      </c>
      <c r="H18" s="1">
        <v>10</v>
      </c>
      <c r="I18" s="1">
        <v>5</v>
      </c>
      <c r="J18" s="1">
        <v>5</v>
      </c>
      <c r="K18" s="1">
        <v>10</v>
      </c>
      <c r="L18" s="1">
        <v>5</v>
      </c>
      <c r="M18" s="1">
        <v>100</v>
      </c>
      <c r="N18" s="1">
        <f t="shared" si="0"/>
        <v>173</v>
      </c>
      <c r="O18" s="6" t="str">
        <f t="shared" si="1"/>
        <v>AA</v>
      </c>
    </row>
    <row r="19" spans="2:15" s="5" customFormat="1" ht="21" customHeight="1">
      <c r="B19" s="2">
        <v>14</v>
      </c>
      <c r="C19" s="39" t="s">
        <v>43</v>
      </c>
      <c r="D19" s="39" t="s">
        <v>44</v>
      </c>
      <c r="E19" s="39" t="s">
        <v>45</v>
      </c>
      <c r="F19" s="1">
        <v>35</v>
      </c>
      <c r="G19" s="1">
        <v>3</v>
      </c>
      <c r="H19" s="1">
        <v>10</v>
      </c>
      <c r="I19" s="1">
        <v>5</v>
      </c>
      <c r="J19" s="1">
        <v>5</v>
      </c>
      <c r="K19" s="1">
        <v>10</v>
      </c>
      <c r="L19" s="1">
        <v>5</v>
      </c>
      <c r="M19" s="1">
        <v>100</v>
      </c>
      <c r="N19" s="1">
        <f t="shared" si="0"/>
        <v>173</v>
      </c>
      <c r="O19" s="6" t="str">
        <f t="shared" si="1"/>
        <v>AA</v>
      </c>
    </row>
    <row r="20" spans="2:15" s="5" customFormat="1" ht="21" customHeight="1">
      <c r="B20" s="2">
        <v>15</v>
      </c>
      <c r="C20" s="39" t="s">
        <v>46</v>
      </c>
      <c r="D20" s="39" t="s">
        <v>47</v>
      </c>
      <c r="E20" s="39" t="s">
        <v>18</v>
      </c>
      <c r="F20" s="1">
        <v>5</v>
      </c>
      <c r="G20" s="1">
        <v>3</v>
      </c>
      <c r="H20" s="1">
        <v>1</v>
      </c>
      <c r="I20" s="1">
        <v>5</v>
      </c>
      <c r="J20" s="1">
        <v>1</v>
      </c>
      <c r="K20" s="1">
        <v>1</v>
      </c>
      <c r="L20" s="1">
        <v>1</v>
      </c>
      <c r="M20" s="1">
        <v>60</v>
      </c>
      <c r="N20" s="1">
        <f t="shared" si="0"/>
        <v>77</v>
      </c>
      <c r="O20" s="6" t="str">
        <f t="shared" si="1"/>
        <v>B</v>
      </c>
    </row>
    <row r="21" spans="2:15" s="5" customFormat="1" ht="21" customHeight="1">
      <c r="B21" s="2">
        <v>16</v>
      </c>
      <c r="C21" s="39" t="s">
        <v>48</v>
      </c>
      <c r="D21" s="39" t="s">
        <v>49</v>
      </c>
      <c r="E21" s="39" t="s">
        <v>18</v>
      </c>
      <c r="F21" s="1">
        <v>5</v>
      </c>
      <c r="G21" s="1">
        <v>3</v>
      </c>
      <c r="H21" s="1">
        <v>1</v>
      </c>
      <c r="I21" s="1">
        <v>5</v>
      </c>
      <c r="J21" s="1">
        <v>1</v>
      </c>
      <c r="K21" s="1">
        <v>1</v>
      </c>
      <c r="L21" s="1">
        <v>1</v>
      </c>
      <c r="M21" s="1">
        <v>60</v>
      </c>
      <c r="N21" s="1">
        <f t="shared" si="0"/>
        <v>77</v>
      </c>
      <c r="O21" s="6" t="str">
        <f t="shared" si="1"/>
        <v>B</v>
      </c>
    </row>
    <row r="22" spans="2:15" s="5" customFormat="1" ht="21" customHeight="1">
      <c r="B22" s="2">
        <v>17</v>
      </c>
      <c r="C22" s="39" t="s">
        <v>50</v>
      </c>
      <c r="D22" s="39" t="s">
        <v>51</v>
      </c>
      <c r="E22" s="39" t="s">
        <v>18</v>
      </c>
      <c r="F22" s="1">
        <v>5</v>
      </c>
      <c r="G22" s="1">
        <v>3</v>
      </c>
      <c r="H22" s="1">
        <v>1</v>
      </c>
      <c r="I22" s="1">
        <v>5</v>
      </c>
      <c r="J22" s="1">
        <v>1</v>
      </c>
      <c r="K22" s="1">
        <v>1</v>
      </c>
      <c r="L22" s="1">
        <v>1</v>
      </c>
      <c r="M22" s="1">
        <v>40</v>
      </c>
      <c r="N22" s="1">
        <f t="shared" si="0"/>
        <v>57</v>
      </c>
      <c r="O22" s="6" t="str">
        <f t="shared" si="1"/>
        <v>B</v>
      </c>
    </row>
    <row r="23" spans="2:15" s="5" customFormat="1" ht="21" customHeight="1">
      <c r="B23" s="2">
        <v>18</v>
      </c>
      <c r="C23" s="39" t="s">
        <v>52</v>
      </c>
      <c r="D23" s="39" t="s">
        <v>53</v>
      </c>
      <c r="E23" s="39" t="s">
        <v>54</v>
      </c>
      <c r="F23" s="1">
        <v>5</v>
      </c>
      <c r="G23" s="1">
        <v>3</v>
      </c>
      <c r="H23" s="1">
        <v>10</v>
      </c>
      <c r="I23" s="1">
        <v>5</v>
      </c>
      <c r="J23" s="1">
        <v>1</v>
      </c>
      <c r="K23" s="1">
        <v>1</v>
      </c>
      <c r="L23" s="1">
        <v>1</v>
      </c>
      <c r="M23" s="1">
        <v>100</v>
      </c>
      <c r="N23" s="1">
        <f t="shared" si="0"/>
        <v>126</v>
      </c>
      <c r="O23" s="6" t="str">
        <f t="shared" si="1"/>
        <v>A</v>
      </c>
    </row>
    <row r="24" spans="2:15" s="5" customFormat="1" ht="21" customHeight="1">
      <c r="B24" s="2">
        <v>19</v>
      </c>
      <c r="C24" s="39" t="s">
        <v>55</v>
      </c>
      <c r="D24" s="39" t="s">
        <v>56</v>
      </c>
      <c r="E24" s="39" t="s">
        <v>18</v>
      </c>
      <c r="F24" s="1">
        <v>5</v>
      </c>
      <c r="G24" s="1">
        <v>3</v>
      </c>
      <c r="H24" s="1">
        <v>1</v>
      </c>
      <c r="I24" s="1">
        <v>5</v>
      </c>
      <c r="J24" s="1">
        <v>1</v>
      </c>
      <c r="K24" s="1">
        <v>1</v>
      </c>
      <c r="L24" s="1">
        <v>1</v>
      </c>
      <c r="M24" s="1">
        <v>40</v>
      </c>
      <c r="N24" s="1">
        <f t="shared" si="0"/>
        <v>57</v>
      </c>
      <c r="O24" s="6" t="str">
        <f t="shared" si="1"/>
        <v>B</v>
      </c>
    </row>
    <row r="25" spans="2:15" s="5" customFormat="1" ht="21" customHeight="1">
      <c r="B25" s="2">
        <v>20</v>
      </c>
      <c r="C25" s="39" t="s">
        <v>57</v>
      </c>
      <c r="D25" s="39" t="s">
        <v>58</v>
      </c>
      <c r="E25" s="39" t="s">
        <v>54</v>
      </c>
      <c r="F25" s="1">
        <v>5</v>
      </c>
      <c r="G25" s="1">
        <v>3</v>
      </c>
      <c r="H25" s="1">
        <v>10</v>
      </c>
      <c r="I25" s="1">
        <v>5</v>
      </c>
      <c r="J25" s="1">
        <v>1</v>
      </c>
      <c r="K25" s="1">
        <v>1</v>
      </c>
      <c r="L25" s="1">
        <v>1</v>
      </c>
      <c r="M25" s="1">
        <v>100</v>
      </c>
      <c r="N25" s="1">
        <f t="shared" si="0"/>
        <v>126</v>
      </c>
      <c r="O25" s="6" t="str">
        <f t="shared" si="1"/>
        <v>A</v>
      </c>
    </row>
    <row r="26" spans="2:15" s="5" customFormat="1" ht="21" customHeight="1">
      <c r="B26" s="2">
        <v>21</v>
      </c>
      <c r="C26" s="39" t="s">
        <v>59</v>
      </c>
      <c r="D26" s="39" t="s">
        <v>60</v>
      </c>
      <c r="E26" s="39" t="s">
        <v>18</v>
      </c>
      <c r="F26" s="1">
        <v>5</v>
      </c>
      <c r="G26" s="1">
        <v>3</v>
      </c>
      <c r="H26" s="1">
        <v>1</v>
      </c>
      <c r="I26" s="1">
        <v>5</v>
      </c>
      <c r="J26" s="1">
        <v>1</v>
      </c>
      <c r="K26" s="1">
        <v>1</v>
      </c>
      <c r="L26" s="1">
        <v>1</v>
      </c>
      <c r="M26" s="1">
        <v>60</v>
      </c>
      <c r="N26" s="1">
        <f t="shared" si="0"/>
        <v>77</v>
      </c>
      <c r="O26" s="6" t="str">
        <f t="shared" si="1"/>
        <v>B</v>
      </c>
    </row>
    <row r="27" spans="2:15" s="5" customFormat="1" ht="21" customHeight="1">
      <c r="B27" s="2">
        <v>22</v>
      </c>
      <c r="C27" s="39" t="s">
        <v>61</v>
      </c>
      <c r="D27" s="39" t="s">
        <v>62</v>
      </c>
      <c r="E27" s="39" t="s">
        <v>18</v>
      </c>
      <c r="F27" s="1">
        <v>5</v>
      </c>
      <c r="G27" s="1">
        <v>3</v>
      </c>
      <c r="H27" s="1">
        <v>1</v>
      </c>
      <c r="I27" s="1">
        <v>5</v>
      </c>
      <c r="J27" s="1">
        <v>1</v>
      </c>
      <c r="K27" s="1">
        <v>1</v>
      </c>
      <c r="L27" s="1">
        <v>1</v>
      </c>
      <c r="M27" s="1">
        <v>60</v>
      </c>
      <c r="N27" s="1">
        <f t="shared" si="0"/>
        <v>77</v>
      </c>
      <c r="O27" s="6" t="str">
        <f t="shared" si="1"/>
        <v>B</v>
      </c>
    </row>
    <row r="28" spans="2:15" s="5" customFormat="1" ht="21" customHeight="1">
      <c r="B28" s="2">
        <v>23</v>
      </c>
      <c r="C28" s="39" t="s">
        <v>63</v>
      </c>
      <c r="D28" s="39" t="s">
        <v>64</v>
      </c>
      <c r="E28" s="39" t="s">
        <v>54</v>
      </c>
      <c r="F28" s="1">
        <v>5</v>
      </c>
      <c r="G28" s="1">
        <v>3</v>
      </c>
      <c r="H28" s="1">
        <v>10</v>
      </c>
      <c r="I28" s="1">
        <v>5</v>
      </c>
      <c r="J28" s="1">
        <v>1</v>
      </c>
      <c r="K28" s="1">
        <v>1</v>
      </c>
      <c r="L28" s="1">
        <v>1</v>
      </c>
      <c r="M28" s="1">
        <v>100</v>
      </c>
      <c r="N28" s="1">
        <f t="shared" si="0"/>
        <v>126</v>
      </c>
      <c r="O28" s="6" t="str">
        <f t="shared" si="1"/>
        <v>A</v>
      </c>
    </row>
    <row r="29" spans="2:15" s="5" customFormat="1" ht="21" customHeight="1">
      <c r="B29" s="2">
        <v>24</v>
      </c>
      <c r="C29" s="39" t="s">
        <v>65</v>
      </c>
      <c r="D29" s="39" t="s">
        <v>66</v>
      </c>
      <c r="E29" s="39" t="s">
        <v>54</v>
      </c>
      <c r="F29" s="1">
        <v>5</v>
      </c>
      <c r="G29" s="1">
        <v>3</v>
      </c>
      <c r="H29" s="1">
        <v>10</v>
      </c>
      <c r="I29" s="1">
        <v>5</v>
      </c>
      <c r="J29" s="1">
        <v>1</v>
      </c>
      <c r="K29" s="1">
        <v>1</v>
      </c>
      <c r="L29" s="1">
        <v>1</v>
      </c>
      <c r="M29" s="1">
        <v>100</v>
      </c>
      <c r="N29" s="1">
        <f t="shared" si="0"/>
        <v>126</v>
      </c>
      <c r="O29" s="6" t="str">
        <f t="shared" si="1"/>
        <v>A</v>
      </c>
    </row>
    <row r="30" spans="2:15" s="5" customFormat="1" ht="21" customHeight="1">
      <c r="B30" s="2">
        <v>25</v>
      </c>
      <c r="C30" s="39" t="s">
        <v>67</v>
      </c>
      <c r="D30" s="39" t="s">
        <v>68</v>
      </c>
      <c r="E30" s="39" t="s">
        <v>69</v>
      </c>
      <c r="F30" s="1">
        <v>1</v>
      </c>
      <c r="G30" s="1">
        <v>3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20</v>
      </c>
      <c r="N30" s="1">
        <f t="shared" si="0"/>
        <v>29</v>
      </c>
      <c r="O30" s="6" t="str">
        <f t="shared" si="1"/>
        <v>C</v>
      </c>
    </row>
    <row r="31" spans="2:15" s="5" customFormat="1" ht="21" customHeight="1">
      <c r="B31" s="2">
        <v>26</v>
      </c>
      <c r="C31" s="39" t="s">
        <v>70</v>
      </c>
      <c r="D31" s="39" t="s">
        <v>71</v>
      </c>
      <c r="E31" s="39" t="s">
        <v>54</v>
      </c>
      <c r="F31" s="1">
        <v>5</v>
      </c>
      <c r="G31" s="1">
        <v>3</v>
      </c>
      <c r="H31" s="1">
        <v>10</v>
      </c>
      <c r="I31" s="1">
        <v>5</v>
      </c>
      <c r="J31" s="1">
        <v>1</v>
      </c>
      <c r="K31" s="1">
        <v>1</v>
      </c>
      <c r="L31" s="1">
        <v>1</v>
      </c>
      <c r="M31" s="1">
        <v>100</v>
      </c>
      <c r="N31" s="1">
        <f t="shared" si="0"/>
        <v>126</v>
      </c>
      <c r="O31" s="6" t="str">
        <f t="shared" si="1"/>
        <v>A</v>
      </c>
    </row>
    <row r="32" spans="2:15" s="5" customFormat="1" ht="21" customHeight="1">
      <c r="B32" s="2">
        <v>27</v>
      </c>
      <c r="C32" s="39" t="s">
        <v>72</v>
      </c>
      <c r="D32" s="39" t="s">
        <v>73</v>
      </c>
      <c r="E32" s="39" t="s">
        <v>69</v>
      </c>
      <c r="F32" s="1">
        <v>1</v>
      </c>
      <c r="G32" s="1">
        <v>3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20</v>
      </c>
      <c r="N32" s="1">
        <f t="shared" si="0"/>
        <v>29</v>
      </c>
      <c r="O32" s="6" t="str">
        <f t="shared" si="1"/>
        <v>C</v>
      </c>
    </row>
    <row r="33" spans="2:15" s="5" customFormat="1" ht="21" customHeight="1">
      <c r="B33" s="2">
        <v>28</v>
      </c>
      <c r="C33" s="39" t="s">
        <v>74</v>
      </c>
      <c r="D33" s="39" t="s">
        <v>75</v>
      </c>
      <c r="E33" s="39" t="s">
        <v>18</v>
      </c>
      <c r="F33" s="1">
        <v>5</v>
      </c>
      <c r="G33" s="1">
        <v>3</v>
      </c>
      <c r="H33" s="1">
        <v>1</v>
      </c>
      <c r="I33" s="1">
        <v>5</v>
      </c>
      <c r="J33" s="1">
        <v>1</v>
      </c>
      <c r="K33" s="1">
        <v>1</v>
      </c>
      <c r="L33" s="1">
        <v>1</v>
      </c>
      <c r="M33" s="1">
        <v>40</v>
      </c>
      <c r="N33" s="1">
        <f t="shared" si="0"/>
        <v>57</v>
      </c>
      <c r="O33" s="6" t="str">
        <f t="shared" si="1"/>
        <v>B</v>
      </c>
    </row>
    <row r="34" spans="2:15" s="5" customFormat="1" ht="21" customHeight="1">
      <c r="B34" s="2">
        <v>29</v>
      </c>
      <c r="C34" s="39" t="s">
        <v>76</v>
      </c>
      <c r="D34" s="39" t="s">
        <v>77</v>
      </c>
      <c r="E34" s="39" t="s">
        <v>54</v>
      </c>
      <c r="F34" s="1">
        <v>5</v>
      </c>
      <c r="G34" s="1">
        <v>3</v>
      </c>
      <c r="H34" s="1">
        <v>10</v>
      </c>
      <c r="I34" s="1">
        <v>5</v>
      </c>
      <c r="J34" s="1">
        <v>1</v>
      </c>
      <c r="K34" s="1">
        <v>1</v>
      </c>
      <c r="L34" s="1">
        <v>1</v>
      </c>
      <c r="M34" s="1">
        <v>100</v>
      </c>
      <c r="N34" s="1">
        <f t="shared" si="0"/>
        <v>126</v>
      </c>
      <c r="O34" s="6" t="str">
        <f t="shared" si="1"/>
        <v>A</v>
      </c>
    </row>
    <row r="35" spans="2:15" s="5" customFormat="1" ht="21" customHeight="1">
      <c r="B35" s="2">
        <v>30</v>
      </c>
      <c r="C35" s="39" t="s">
        <v>78</v>
      </c>
      <c r="D35" s="39" t="s">
        <v>79</v>
      </c>
      <c r="E35" s="39" t="s">
        <v>18</v>
      </c>
      <c r="F35" s="1">
        <v>5</v>
      </c>
      <c r="G35" s="1">
        <v>3</v>
      </c>
      <c r="H35" s="1">
        <v>1</v>
      </c>
      <c r="I35" s="1">
        <v>5</v>
      </c>
      <c r="J35" s="1">
        <v>1</v>
      </c>
      <c r="K35" s="1">
        <v>1</v>
      </c>
      <c r="L35" s="1">
        <v>1</v>
      </c>
      <c r="M35" s="1">
        <v>40</v>
      </c>
      <c r="N35" s="1">
        <f t="shared" si="0"/>
        <v>57</v>
      </c>
      <c r="O35" s="6" t="str">
        <f t="shared" si="1"/>
        <v>B</v>
      </c>
    </row>
    <row r="36" spans="2:15" s="5" customFormat="1" ht="21" customHeight="1">
      <c r="B36" s="2">
        <v>31</v>
      </c>
      <c r="C36" s="39" t="s">
        <v>80</v>
      </c>
      <c r="D36" s="39" t="s">
        <v>81</v>
      </c>
      <c r="E36" s="39" t="s">
        <v>18</v>
      </c>
      <c r="F36" s="1">
        <v>5</v>
      </c>
      <c r="G36" s="1">
        <v>3</v>
      </c>
      <c r="H36" s="1">
        <v>1</v>
      </c>
      <c r="I36" s="1">
        <v>5</v>
      </c>
      <c r="J36" s="1">
        <v>1</v>
      </c>
      <c r="K36" s="1">
        <v>1</v>
      </c>
      <c r="L36" s="1">
        <v>1</v>
      </c>
      <c r="M36" s="1">
        <v>40</v>
      </c>
      <c r="N36" s="1">
        <f t="shared" si="0"/>
        <v>57</v>
      </c>
      <c r="O36" s="6" t="str">
        <f t="shared" si="1"/>
        <v>B</v>
      </c>
    </row>
    <row r="37" spans="2:15" s="5" customFormat="1" ht="21" customHeight="1">
      <c r="B37" s="2">
        <v>32</v>
      </c>
      <c r="C37" s="39" t="s">
        <v>82</v>
      </c>
      <c r="D37" s="39" t="s">
        <v>83</v>
      </c>
      <c r="E37" s="39" t="s">
        <v>18</v>
      </c>
      <c r="F37" s="1">
        <v>5</v>
      </c>
      <c r="G37" s="1">
        <v>3</v>
      </c>
      <c r="H37" s="1">
        <v>1</v>
      </c>
      <c r="I37" s="1">
        <v>5</v>
      </c>
      <c r="J37" s="1">
        <v>1</v>
      </c>
      <c r="K37" s="1">
        <v>1</v>
      </c>
      <c r="L37" s="1">
        <v>1</v>
      </c>
      <c r="M37" s="1">
        <v>60</v>
      </c>
      <c r="N37" s="1">
        <f t="shared" si="0"/>
        <v>77</v>
      </c>
      <c r="O37" s="6" t="str">
        <f t="shared" si="1"/>
        <v>B</v>
      </c>
    </row>
    <row r="38" spans="2:15" s="5" customFormat="1" ht="21" customHeight="1">
      <c r="B38" s="2">
        <v>33</v>
      </c>
      <c r="C38" s="39" t="s">
        <v>84</v>
      </c>
      <c r="D38" s="39" t="s">
        <v>85</v>
      </c>
      <c r="E38" s="39" t="s">
        <v>18</v>
      </c>
      <c r="F38" s="1">
        <v>5</v>
      </c>
      <c r="G38" s="1">
        <v>3</v>
      </c>
      <c r="H38" s="1">
        <v>1</v>
      </c>
      <c r="I38" s="1">
        <v>5</v>
      </c>
      <c r="J38" s="1">
        <v>1</v>
      </c>
      <c r="K38" s="1">
        <v>1</v>
      </c>
      <c r="L38" s="1">
        <v>1</v>
      </c>
      <c r="M38" s="1">
        <v>80</v>
      </c>
      <c r="N38" s="1">
        <f t="shared" si="0"/>
        <v>97</v>
      </c>
      <c r="O38" s="6" t="str">
        <f t="shared" si="1"/>
        <v>B</v>
      </c>
    </row>
    <row r="39" spans="2:15" s="5" customFormat="1" ht="21" customHeight="1">
      <c r="B39" s="2">
        <v>34</v>
      </c>
      <c r="C39" s="39" t="s">
        <v>86</v>
      </c>
      <c r="D39" s="39" t="s">
        <v>87</v>
      </c>
      <c r="E39" s="39" t="s">
        <v>18</v>
      </c>
      <c r="F39" s="1">
        <v>5</v>
      </c>
      <c r="G39" s="1">
        <v>3</v>
      </c>
      <c r="H39" s="1">
        <v>1</v>
      </c>
      <c r="I39" s="1">
        <v>5</v>
      </c>
      <c r="J39" s="1">
        <v>1</v>
      </c>
      <c r="K39" s="1">
        <v>1</v>
      </c>
      <c r="L39" s="1">
        <v>1</v>
      </c>
      <c r="M39" s="1">
        <v>40</v>
      </c>
      <c r="N39" s="1">
        <f t="shared" si="0"/>
        <v>57</v>
      </c>
      <c r="O39" s="6" t="str">
        <f t="shared" si="1"/>
        <v>B</v>
      </c>
    </row>
    <row r="40" spans="2:15" s="5" customFormat="1" ht="21" customHeight="1">
      <c r="B40" s="2">
        <v>35</v>
      </c>
      <c r="C40" s="39" t="s">
        <v>88</v>
      </c>
      <c r="D40" s="39" t="s">
        <v>62</v>
      </c>
      <c r="E40" s="39" t="s">
        <v>18</v>
      </c>
      <c r="F40" s="1">
        <v>5</v>
      </c>
      <c r="G40" s="1">
        <v>3</v>
      </c>
      <c r="H40" s="1">
        <v>1</v>
      </c>
      <c r="I40" s="1">
        <v>5</v>
      </c>
      <c r="J40" s="1">
        <v>1</v>
      </c>
      <c r="K40" s="1">
        <v>1</v>
      </c>
      <c r="L40" s="1">
        <v>1</v>
      </c>
      <c r="M40" s="1">
        <v>40</v>
      </c>
      <c r="N40" s="1">
        <f t="shared" si="0"/>
        <v>57</v>
      </c>
      <c r="O40" s="6" t="str">
        <f t="shared" si="1"/>
        <v>B</v>
      </c>
    </row>
    <row r="41" spans="2:15" s="5" customFormat="1" ht="21" customHeight="1">
      <c r="B41" s="2">
        <v>36</v>
      </c>
      <c r="C41" s="39" t="s">
        <v>89</v>
      </c>
      <c r="D41" s="39" t="s">
        <v>90</v>
      </c>
      <c r="E41" s="39" t="s">
        <v>69</v>
      </c>
      <c r="F41" s="1">
        <v>5</v>
      </c>
      <c r="G41" s="1">
        <v>3</v>
      </c>
      <c r="H41" s="1">
        <v>1</v>
      </c>
      <c r="I41" s="1">
        <v>5</v>
      </c>
      <c r="J41" s="1">
        <v>1</v>
      </c>
      <c r="K41" s="1">
        <v>1</v>
      </c>
      <c r="L41" s="1">
        <v>1</v>
      </c>
      <c r="M41" s="1">
        <v>60</v>
      </c>
      <c r="N41" s="1">
        <f t="shared" si="0"/>
        <v>77</v>
      </c>
      <c r="O41" s="6" t="str">
        <f t="shared" si="1"/>
        <v>B</v>
      </c>
    </row>
    <row r="42" spans="2:15" s="5" customFormat="1" ht="21" customHeight="1">
      <c r="B42" s="2">
        <v>37</v>
      </c>
      <c r="C42" s="39" t="s">
        <v>91</v>
      </c>
      <c r="D42" s="39" t="s">
        <v>92</v>
      </c>
      <c r="E42" s="39" t="s">
        <v>18</v>
      </c>
      <c r="F42" s="1">
        <v>5</v>
      </c>
      <c r="G42" s="1">
        <v>3</v>
      </c>
      <c r="H42" s="1">
        <v>1</v>
      </c>
      <c r="I42" s="1">
        <v>5</v>
      </c>
      <c r="J42" s="1">
        <v>1</v>
      </c>
      <c r="K42" s="1">
        <v>1</v>
      </c>
      <c r="L42" s="1">
        <v>1</v>
      </c>
      <c r="M42" s="1">
        <v>60</v>
      </c>
      <c r="N42" s="1">
        <f t="shared" si="0"/>
        <v>77</v>
      </c>
      <c r="O42" s="6" t="str">
        <f t="shared" si="1"/>
        <v>B</v>
      </c>
    </row>
    <row r="43" spans="2:15" s="5" customFormat="1" ht="21" customHeight="1">
      <c r="B43" s="2">
        <v>38</v>
      </c>
      <c r="C43" s="39" t="s">
        <v>93</v>
      </c>
      <c r="D43" s="39" t="s">
        <v>94</v>
      </c>
      <c r="E43" s="39" t="s">
        <v>54</v>
      </c>
      <c r="F43" s="1">
        <v>1</v>
      </c>
      <c r="G43" s="1">
        <v>3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20</v>
      </c>
      <c r="N43" s="1">
        <f t="shared" si="0"/>
        <v>29</v>
      </c>
      <c r="O43" s="6" t="str">
        <f t="shared" si="1"/>
        <v>C</v>
      </c>
    </row>
    <row r="44" spans="2:15" s="5" customFormat="1" ht="21" customHeight="1">
      <c r="B44" s="2">
        <v>39</v>
      </c>
      <c r="C44" s="39" t="s">
        <v>95</v>
      </c>
      <c r="D44" s="39" t="s">
        <v>96</v>
      </c>
      <c r="E44" s="39" t="s">
        <v>18</v>
      </c>
      <c r="F44" s="1">
        <v>5</v>
      </c>
      <c r="G44" s="1">
        <v>3</v>
      </c>
      <c r="H44" s="1">
        <v>1</v>
      </c>
      <c r="I44" s="1">
        <v>5</v>
      </c>
      <c r="J44" s="1">
        <v>1</v>
      </c>
      <c r="K44" s="1">
        <v>1</v>
      </c>
      <c r="L44" s="1">
        <v>1</v>
      </c>
      <c r="M44" s="1">
        <v>60</v>
      </c>
      <c r="N44" s="1">
        <f t="shared" si="0"/>
        <v>77</v>
      </c>
      <c r="O44" s="6" t="str">
        <f t="shared" si="1"/>
        <v>B</v>
      </c>
    </row>
    <row r="45" spans="2:15" s="5" customFormat="1" ht="21" customHeight="1">
      <c r="B45" s="2">
        <v>40</v>
      </c>
      <c r="C45" s="39" t="s">
        <v>97</v>
      </c>
      <c r="D45" s="39" t="s">
        <v>98</v>
      </c>
      <c r="E45" s="39" t="s">
        <v>18</v>
      </c>
      <c r="F45" s="1">
        <v>5</v>
      </c>
      <c r="G45" s="1">
        <v>3</v>
      </c>
      <c r="H45" s="1">
        <v>1</v>
      </c>
      <c r="I45" s="1">
        <v>5</v>
      </c>
      <c r="J45" s="1">
        <v>1</v>
      </c>
      <c r="K45" s="1">
        <v>1</v>
      </c>
      <c r="L45" s="1">
        <v>1</v>
      </c>
      <c r="M45" s="1">
        <v>60</v>
      </c>
      <c r="N45" s="1">
        <f t="shared" si="0"/>
        <v>77</v>
      </c>
      <c r="O45" s="6" t="str">
        <f t="shared" si="1"/>
        <v>B</v>
      </c>
    </row>
    <row r="46" spans="2:15" s="5" customFormat="1" ht="21" customHeight="1">
      <c r="B46" s="2">
        <v>41</v>
      </c>
      <c r="C46" s="39" t="s">
        <v>99</v>
      </c>
      <c r="D46" s="39" t="s">
        <v>100</v>
      </c>
      <c r="E46" s="39" t="s">
        <v>18</v>
      </c>
      <c r="F46" s="1">
        <v>5</v>
      </c>
      <c r="G46" s="1">
        <v>3</v>
      </c>
      <c r="H46" s="1">
        <v>1</v>
      </c>
      <c r="I46" s="1">
        <v>5</v>
      </c>
      <c r="J46" s="1">
        <v>1</v>
      </c>
      <c r="K46" s="1">
        <v>1</v>
      </c>
      <c r="L46" s="1">
        <v>1</v>
      </c>
      <c r="M46" s="1">
        <v>40</v>
      </c>
      <c r="N46" s="1">
        <f t="shared" si="0"/>
        <v>57</v>
      </c>
      <c r="O46" s="6" t="str">
        <f t="shared" si="1"/>
        <v>B</v>
      </c>
    </row>
    <row r="47" spans="2:15" s="5" customFormat="1" ht="21" customHeight="1">
      <c r="B47" s="2">
        <v>42</v>
      </c>
      <c r="C47" s="39" t="s">
        <v>101</v>
      </c>
      <c r="D47" s="39" t="s">
        <v>102</v>
      </c>
      <c r="E47" s="39" t="s">
        <v>103</v>
      </c>
      <c r="F47" s="1">
        <v>5</v>
      </c>
      <c r="G47" s="1">
        <v>3</v>
      </c>
      <c r="H47" s="1">
        <v>1</v>
      </c>
      <c r="I47" s="1">
        <v>5</v>
      </c>
      <c r="J47" s="1">
        <v>1</v>
      </c>
      <c r="K47" s="1">
        <v>1</v>
      </c>
      <c r="L47" s="1">
        <v>1</v>
      </c>
      <c r="M47" s="1">
        <v>80</v>
      </c>
      <c r="N47" s="1">
        <f t="shared" si="0"/>
        <v>97</v>
      </c>
      <c r="O47" s="6" t="str">
        <f t="shared" si="1"/>
        <v>B</v>
      </c>
    </row>
    <row r="48" spans="2:15" s="5" customFormat="1" ht="21" customHeight="1">
      <c r="B48" s="2">
        <v>43</v>
      </c>
      <c r="C48" s="39" t="s">
        <v>104</v>
      </c>
      <c r="D48" s="39" t="s">
        <v>105</v>
      </c>
      <c r="E48" s="39" t="s">
        <v>18</v>
      </c>
      <c r="F48" s="1">
        <v>5</v>
      </c>
      <c r="G48" s="1">
        <v>3</v>
      </c>
      <c r="H48" s="1">
        <v>1</v>
      </c>
      <c r="I48" s="1">
        <v>5</v>
      </c>
      <c r="J48" s="1">
        <v>1</v>
      </c>
      <c r="K48" s="1">
        <v>1</v>
      </c>
      <c r="L48" s="1">
        <v>1</v>
      </c>
      <c r="M48" s="1">
        <v>60</v>
      </c>
      <c r="N48" s="1">
        <f t="shared" si="0"/>
        <v>77</v>
      </c>
      <c r="O48" s="6" t="str">
        <f t="shared" si="1"/>
        <v>B</v>
      </c>
    </row>
    <row r="49" spans="2:15" s="5" customFormat="1" ht="21" customHeight="1">
      <c r="B49" s="2">
        <v>44</v>
      </c>
      <c r="C49" s="39" t="s">
        <v>106</v>
      </c>
      <c r="D49" s="39" t="s">
        <v>107</v>
      </c>
      <c r="E49" s="39" t="s">
        <v>18</v>
      </c>
      <c r="F49" s="1">
        <v>5</v>
      </c>
      <c r="G49" s="1">
        <v>3</v>
      </c>
      <c r="H49" s="1">
        <v>1</v>
      </c>
      <c r="I49" s="1">
        <v>5</v>
      </c>
      <c r="J49" s="1">
        <v>1</v>
      </c>
      <c r="K49" s="1">
        <v>1</v>
      </c>
      <c r="L49" s="1">
        <v>1</v>
      </c>
      <c r="M49" s="1">
        <v>40</v>
      </c>
      <c r="N49" s="1">
        <f t="shared" si="0"/>
        <v>57</v>
      </c>
      <c r="O49" s="6" t="str">
        <f t="shared" si="1"/>
        <v>B</v>
      </c>
    </row>
    <row r="50" spans="2:15" s="5" customFormat="1" ht="21" customHeight="1">
      <c r="B50" s="2">
        <v>45</v>
      </c>
      <c r="C50" s="39" t="s">
        <v>108</v>
      </c>
      <c r="D50" s="39" t="s">
        <v>109</v>
      </c>
      <c r="E50" s="39" t="s">
        <v>18</v>
      </c>
      <c r="F50" s="1">
        <v>5</v>
      </c>
      <c r="G50" s="1">
        <v>3</v>
      </c>
      <c r="H50" s="1">
        <v>1</v>
      </c>
      <c r="I50" s="1">
        <v>5</v>
      </c>
      <c r="J50" s="1">
        <v>1</v>
      </c>
      <c r="K50" s="1">
        <v>1</v>
      </c>
      <c r="L50" s="1">
        <v>1</v>
      </c>
      <c r="M50" s="1">
        <v>60</v>
      </c>
      <c r="N50" s="1">
        <f t="shared" si="0"/>
        <v>77</v>
      </c>
      <c r="O50" s="6" t="str">
        <f t="shared" si="1"/>
        <v>B</v>
      </c>
    </row>
    <row r="51" spans="2:15" s="5" customFormat="1" ht="21" customHeight="1">
      <c r="B51" s="2">
        <v>46</v>
      </c>
      <c r="C51" s="39" t="s">
        <v>110</v>
      </c>
      <c r="D51" s="39" t="s">
        <v>111</v>
      </c>
      <c r="E51" s="39" t="s">
        <v>18</v>
      </c>
      <c r="F51" s="1">
        <v>5</v>
      </c>
      <c r="G51" s="1">
        <v>3</v>
      </c>
      <c r="H51" s="1">
        <v>1</v>
      </c>
      <c r="I51" s="1">
        <v>5</v>
      </c>
      <c r="J51" s="1">
        <v>1</v>
      </c>
      <c r="K51" s="1">
        <v>1</v>
      </c>
      <c r="L51" s="1">
        <v>1</v>
      </c>
      <c r="M51" s="1">
        <v>60</v>
      </c>
      <c r="N51" s="1">
        <f t="shared" si="0"/>
        <v>77</v>
      </c>
      <c r="O51" s="6" t="str">
        <f t="shared" si="1"/>
        <v>B</v>
      </c>
    </row>
    <row r="52" spans="2:15" s="5" customFormat="1" ht="21" customHeight="1">
      <c r="B52" s="2">
        <v>47</v>
      </c>
      <c r="C52" s="39" t="s">
        <v>112</v>
      </c>
      <c r="D52" s="39" t="s">
        <v>113</v>
      </c>
      <c r="E52" s="39" t="s">
        <v>54</v>
      </c>
      <c r="F52" s="1">
        <v>5</v>
      </c>
      <c r="G52" s="1">
        <v>3</v>
      </c>
      <c r="H52" s="1">
        <v>10</v>
      </c>
      <c r="I52" s="1">
        <v>5</v>
      </c>
      <c r="J52" s="1">
        <v>1</v>
      </c>
      <c r="K52" s="1">
        <v>1</v>
      </c>
      <c r="L52" s="1">
        <v>1</v>
      </c>
      <c r="M52" s="1">
        <v>100</v>
      </c>
      <c r="N52" s="1">
        <f t="shared" si="0"/>
        <v>126</v>
      </c>
      <c r="O52" s="6" t="str">
        <f t="shared" si="1"/>
        <v>A</v>
      </c>
    </row>
    <row r="53" spans="2:15" s="5" customFormat="1" ht="21" customHeight="1">
      <c r="B53" s="2">
        <v>48</v>
      </c>
      <c r="C53" s="39" t="s">
        <v>114</v>
      </c>
      <c r="D53" s="39" t="s">
        <v>115</v>
      </c>
      <c r="E53" s="39" t="s">
        <v>69</v>
      </c>
      <c r="F53" s="1">
        <v>5</v>
      </c>
      <c r="G53" s="1">
        <v>3</v>
      </c>
      <c r="H53" s="1">
        <v>1</v>
      </c>
      <c r="I53" s="1">
        <v>5</v>
      </c>
      <c r="J53" s="1">
        <v>1</v>
      </c>
      <c r="K53" s="1">
        <v>1</v>
      </c>
      <c r="L53" s="1">
        <v>1</v>
      </c>
      <c r="M53" s="1">
        <v>60</v>
      </c>
      <c r="N53" s="1">
        <f t="shared" si="0"/>
        <v>77</v>
      </c>
      <c r="O53" s="6" t="str">
        <f t="shared" si="1"/>
        <v>B</v>
      </c>
    </row>
    <row r="54" spans="2:15" s="5" customFormat="1" ht="21" customHeight="1">
      <c r="B54" s="2">
        <v>49</v>
      </c>
      <c r="C54" s="39" t="s">
        <v>116</v>
      </c>
      <c r="D54" s="39" t="s">
        <v>117</v>
      </c>
      <c r="E54" s="39" t="s">
        <v>18</v>
      </c>
      <c r="F54" s="1">
        <v>5</v>
      </c>
      <c r="G54" s="1">
        <v>3</v>
      </c>
      <c r="H54" s="1">
        <v>1</v>
      </c>
      <c r="I54" s="1">
        <v>5</v>
      </c>
      <c r="J54" s="1">
        <v>1</v>
      </c>
      <c r="K54" s="1">
        <v>1</v>
      </c>
      <c r="L54" s="1">
        <v>1</v>
      </c>
      <c r="M54" s="1">
        <v>40</v>
      </c>
      <c r="N54" s="1">
        <f t="shared" si="0"/>
        <v>57</v>
      </c>
      <c r="O54" s="6" t="str">
        <f t="shared" si="1"/>
        <v>B</v>
      </c>
    </row>
    <row r="55" spans="2:15" s="5" customFormat="1" ht="21" customHeight="1">
      <c r="B55" s="2">
        <v>50</v>
      </c>
      <c r="C55" s="39" t="s">
        <v>118</v>
      </c>
      <c r="D55" s="39" t="s">
        <v>119</v>
      </c>
      <c r="E55" s="39" t="s">
        <v>120</v>
      </c>
      <c r="F55" s="1">
        <v>1</v>
      </c>
      <c r="G55" s="1">
        <v>3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20</v>
      </c>
      <c r="N55" s="1">
        <f t="shared" si="0"/>
        <v>29</v>
      </c>
      <c r="O55" s="6" t="str">
        <f t="shared" si="1"/>
        <v>C</v>
      </c>
    </row>
    <row r="56" spans="2:15" s="5" customFormat="1" ht="21" customHeight="1">
      <c r="B56" s="2">
        <v>51</v>
      </c>
      <c r="C56" s="39" t="s">
        <v>121</v>
      </c>
      <c r="D56" s="39" t="s">
        <v>122</v>
      </c>
      <c r="E56" s="39" t="s">
        <v>18</v>
      </c>
      <c r="F56" s="1">
        <v>5</v>
      </c>
      <c r="G56" s="1">
        <v>3</v>
      </c>
      <c r="H56" s="1">
        <v>1</v>
      </c>
      <c r="I56" s="1">
        <v>5</v>
      </c>
      <c r="J56" s="1">
        <v>1</v>
      </c>
      <c r="K56" s="1">
        <v>1</v>
      </c>
      <c r="L56" s="1">
        <v>1</v>
      </c>
      <c r="M56" s="1">
        <v>60</v>
      </c>
      <c r="N56" s="1">
        <f t="shared" si="0"/>
        <v>77</v>
      </c>
      <c r="O56" s="6" t="str">
        <f t="shared" si="1"/>
        <v>B</v>
      </c>
    </row>
    <row r="57" spans="2:15" s="5" customFormat="1" ht="21" customHeight="1">
      <c r="B57" s="2">
        <v>52</v>
      </c>
      <c r="C57" s="39" t="s">
        <v>123</v>
      </c>
      <c r="D57" s="39" t="s">
        <v>124</v>
      </c>
      <c r="E57" s="39" t="s">
        <v>18</v>
      </c>
      <c r="F57" s="1">
        <v>5</v>
      </c>
      <c r="G57" s="1">
        <v>3</v>
      </c>
      <c r="H57" s="1">
        <v>1</v>
      </c>
      <c r="I57" s="1">
        <v>5</v>
      </c>
      <c r="J57" s="1">
        <v>1</v>
      </c>
      <c r="K57" s="1">
        <v>1</v>
      </c>
      <c r="L57" s="1">
        <v>1</v>
      </c>
      <c r="M57" s="1">
        <v>60</v>
      </c>
      <c r="N57" s="1">
        <f t="shared" si="0"/>
        <v>77</v>
      </c>
      <c r="O57" s="6" t="str">
        <f t="shared" si="1"/>
        <v>B</v>
      </c>
    </row>
    <row r="58" spans="2:15" s="5" customFormat="1" ht="21" customHeight="1">
      <c r="B58" s="2">
        <v>53</v>
      </c>
      <c r="C58" s="39" t="s">
        <v>125</v>
      </c>
      <c r="D58" s="39" t="s">
        <v>126</v>
      </c>
      <c r="E58" s="39" t="s">
        <v>18</v>
      </c>
      <c r="F58" s="1">
        <v>5</v>
      </c>
      <c r="G58" s="1">
        <v>3</v>
      </c>
      <c r="H58" s="1">
        <v>1</v>
      </c>
      <c r="I58" s="1">
        <v>5</v>
      </c>
      <c r="J58" s="1">
        <v>1</v>
      </c>
      <c r="K58" s="1">
        <v>1</v>
      </c>
      <c r="L58" s="1">
        <v>1</v>
      </c>
      <c r="M58" s="1">
        <v>100</v>
      </c>
      <c r="N58" s="1">
        <f t="shared" si="0"/>
        <v>117</v>
      </c>
      <c r="O58" s="6" t="str">
        <f t="shared" si="1"/>
        <v>A</v>
      </c>
    </row>
    <row r="59" spans="2:15" s="5" customFormat="1" ht="21" customHeight="1">
      <c r="B59" s="2">
        <v>54</v>
      </c>
      <c r="C59" s="39" t="s">
        <v>127</v>
      </c>
      <c r="D59" s="39" t="s">
        <v>128</v>
      </c>
      <c r="E59" s="39" t="s">
        <v>18</v>
      </c>
      <c r="F59" s="1">
        <v>5</v>
      </c>
      <c r="G59" s="1">
        <v>3</v>
      </c>
      <c r="H59" s="1">
        <v>1</v>
      </c>
      <c r="I59" s="1">
        <v>5</v>
      </c>
      <c r="J59" s="1">
        <v>1</v>
      </c>
      <c r="K59" s="1">
        <v>1</v>
      </c>
      <c r="L59" s="1">
        <v>1</v>
      </c>
      <c r="M59" s="1">
        <v>40</v>
      </c>
      <c r="N59" s="1">
        <f t="shared" si="0"/>
        <v>57</v>
      </c>
      <c r="O59" s="6" t="str">
        <f t="shared" si="1"/>
        <v>B</v>
      </c>
    </row>
    <row r="60" spans="2:15" s="5" customFormat="1" ht="21" customHeight="1">
      <c r="B60" s="2">
        <v>55</v>
      </c>
      <c r="C60" s="39" t="s">
        <v>129</v>
      </c>
      <c r="D60" s="39" t="s">
        <v>130</v>
      </c>
      <c r="E60" s="39" t="s">
        <v>18</v>
      </c>
      <c r="F60" s="1">
        <v>5</v>
      </c>
      <c r="G60" s="1">
        <v>3</v>
      </c>
      <c r="H60" s="1">
        <v>1</v>
      </c>
      <c r="I60" s="1">
        <v>5</v>
      </c>
      <c r="J60" s="1">
        <v>1</v>
      </c>
      <c r="K60" s="1">
        <v>1</v>
      </c>
      <c r="L60" s="1">
        <v>1</v>
      </c>
      <c r="M60" s="1">
        <v>80</v>
      </c>
      <c r="N60" s="1">
        <f t="shared" si="0"/>
        <v>97</v>
      </c>
      <c r="O60" s="6" t="str">
        <f t="shared" si="1"/>
        <v>B</v>
      </c>
    </row>
    <row r="61" spans="2:15" s="5" customFormat="1" ht="21" customHeight="1">
      <c r="B61" s="2">
        <v>56</v>
      </c>
      <c r="C61" s="39" t="s">
        <v>131</v>
      </c>
      <c r="D61" s="39" t="s">
        <v>132</v>
      </c>
      <c r="E61" s="39" t="s">
        <v>18</v>
      </c>
      <c r="F61" s="1">
        <v>5</v>
      </c>
      <c r="G61" s="1">
        <v>3</v>
      </c>
      <c r="H61" s="1">
        <v>1</v>
      </c>
      <c r="I61" s="1">
        <v>5</v>
      </c>
      <c r="J61" s="1">
        <v>1</v>
      </c>
      <c r="K61" s="1">
        <v>1</v>
      </c>
      <c r="L61" s="1">
        <v>1</v>
      </c>
      <c r="M61" s="1">
        <v>60</v>
      </c>
      <c r="N61" s="1">
        <f t="shared" si="0"/>
        <v>77</v>
      </c>
      <c r="O61" s="6" t="str">
        <f t="shared" si="1"/>
        <v>B</v>
      </c>
    </row>
    <row r="62" spans="2:15" s="5" customFormat="1" ht="21" customHeight="1">
      <c r="B62" s="2">
        <v>57</v>
      </c>
      <c r="C62" s="39" t="s">
        <v>133</v>
      </c>
      <c r="D62" s="39" t="s">
        <v>134</v>
      </c>
      <c r="E62" s="39" t="s">
        <v>18</v>
      </c>
      <c r="F62" s="1">
        <v>5</v>
      </c>
      <c r="G62" s="1">
        <v>3</v>
      </c>
      <c r="H62" s="1">
        <v>1</v>
      </c>
      <c r="I62" s="1">
        <v>5</v>
      </c>
      <c r="J62" s="1">
        <v>1</v>
      </c>
      <c r="K62" s="1">
        <v>1</v>
      </c>
      <c r="L62" s="1">
        <v>1</v>
      </c>
      <c r="M62" s="1">
        <v>60</v>
      </c>
      <c r="N62" s="1">
        <f t="shared" si="0"/>
        <v>77</v>
      </c>
      <c r="O62" s="6" t="str">
        <f t="shared" si="1"/>
        <v>B</v>
      </c>
    </row>
    <row r="63" spans="2:15" s="5" customFormat="1" ht="21" customHeight="1">
      <c r="B63" s="2">
        <v>58</v>
      </c>
      <c r="C63" s="39" t="s">
        <v>135</v>
      </c>
      <c r="D63" s="39" t="s">
        <v>136</v>
      </c>
      <c r="E63" s="39" t="s">
        <v>137</v>
      </c>
      <c r="F63" s="1">
        <v>35</v>
      </c>
      <c r="G63" s="1">
        <v>5</v>
      </c>
      <c r="H63" s="1">
        <v>10</v>
      </c>
      <c r="I63" s="1">
        <v>5</v>
      </c>
      <c r="J63" s="1">
        <v>5</v>
      </c>
      <c r="K63" s="1">
        <v>10</v>
      </c>
      <c r="L63" s="1">
        <v>35</v>
      </c>
      <c r="M63" s="1">
        <v>100</v>
      </c>
      <c r="N63" s="1">
        <f t="shared" si="0"/>
        <v>205</v>
      </c>
      <c r="O63" s="6" t="str">
        <f t="shared" si="1"/>
        <v>AA</v>
      </c>
    </row>
    <row r="64" spans="2:15" s="5" customFormat="1" ht="21" customHeight="1">
      <c r="B64" s="2">
        <v>59</v>
      </c>
      <c r="C64" s="39" t="s">
        <v>138</v>
      </c>
      <c r="D64" s="39" t="s">
        <v>139</v>
      </c>
      <c r="E64" s="39" t="s">
        <v>137</v>
      </c>
      <c r="F64" s="1">
        <v>35</v>
      </c>
      <c r="G64" s="1">
        <v>5</v>
      </c>
      <c r="H64" s="1">
        <v>10</v>
      </c>
      <c r="I64" s="1">
        <v>5</v>
      </c>
      <c r="J64" s="1">
        <v>5</v>
      </c>
      <c r="K64" s="1">
        <v>10</v>
      </c>
      <c r="L64" s="1">
        <v>35</v>
      </c>
      <c r="M64" s="1">
        <v>100</v>
      </c>
      <c r="N64" s="1">
        <f t="shared" si="0"/>
        <v>205</v>
      </c>
      <c r="O64" s="6" t="str">
        <f t="shared" si="1"/>
        <v>AA</v>
      </c>
    </row>
    <row r="65" spans="2:15" s="5" customFormat="1" ht="21" customHeight="1">
      <c r="B65" s="2">
        <v>60</v>
      </c>
      <c r="C65" s="39" t="s">
        <v>140</v>
      </c>
      <c r="D65" s="39" t="s">
        <v>141</v>
      </c>
      <c r="E65" s="39" t="s">
        <v>137</v>
      </c>
      <c r="F65" s="1">
        <v>35</v>
      </c>
      <c r="G65" s="1">
        <v>5</v>
      </c>
      <c r="H65" s="1">
        <v>10</v>
      </c>
      <c r="I65" s="1">
        <v>5</v>
      </c>
      <c r="J65" s="1">
        <v>5</v>
      </c>
      <c r="K65" s="1">
        <v>10</v>
      </c>
      <c r="L65" s="1">
        <v>35</v>
      </c>
      <c r="M65" s="1">
        <v>100</v>
      </c>
      <c r="N65" s="1">
        <f t="shared" si="0"/>
        <v>205</v>
      </c>
      <c r="O65" s="6" t="str">
        <f t="shared" si="1"/>
        <v>AA</v>
      </c>
    </row>
    <row r="66" spans="2:15" s="5" customFormat="1" ht="21" customHeight="1">
      <c r="B66" s="2">
        <v>61</v>
      </c>
      <c r="C66" s="39" t="s">
        <v>142</v>
      </c>
      <c r="D66" s="39" t="s">
        <v>143</v>
      </c>
      <c r="E66" s="39" t="s">
        <v>144</v>
      </c>
      <c r="F66" s="1">
        <v>5</v>
      </c>
      <c r="G66" s="1">
        <v>3</v>
      </c>
      <c r="H66" s="1">
        <v>10</v>
      </c>
      <c r="I66" s="1">
        <v>1</v>
      </c>
      <c r="J66" s="1">
        <v>5</v>
      </c>
      <c r="K66" s="1">
        <v>10</v>
      </c>
      <c r="L66" s="1">
        <v>5</v>
      </c>
      <c r="M66" s="1">
        <v>20</v>
      </c>
      <c r="N66" s="1">
        <f>SUBTOTAL(9,F66:M66)</f>
        <v>59</v>
      </c>
      <c r="O66" s="6" t="str">
        <f t="shared" si="1"/>
        <v>B</v>
      </c>
    </row>
    <row r="67" spans="2:15" s="5" customFormat="1" ht="21" customHeight="1">
      <c r="B67" s="2">
        <v>62</v>
      </c>
      <c r="C67" s="39" t="s">
        <v>145</v>
      </c>
      <c r="D67" s="39" t="s">
        <v>146</v>
      </c>
      <c r="E67" s="39" t="s">
        <v>147</v>
      </c>
      <c r="F67" s="1">
        <v>5</v>
      </c>
      <c r="G67" s="1">
        <v>3</v>
      </c>
      <c r="H67" s="1">
        <v>10</v>
      </c>
      <c r="I67" s="1">
        <v>1</v>
      </c>
      <c r="J67" s="1">
        <v>5</v>
      </c>
      <c r="K67" s="1">
        <v>10</v>
      </c>
      <c r="L67" s="1">
        <v>5</v>
      </c>
      <c r="M67" s="1">
        <v>20</v>
      </c>
      <c r="N67" s="1">
        <f t="shared" si="0"/>
        <v>59</v>
      </c>
      <c r="O67" s="6" t="str">
        <f t="shared" si="1"/>
        <v>B</v>
      </c>
    </row>
    <row r="68" spans="2:15" s="5" customFormat="1" ht="21" customHeight="1">
      <c r="B68" s="2">
        <v>63</v>
      </c>
      <c r="C68" s="39" t="s">
        <v>148</v>
      </c>
      <c r="D68" s="39" t="s">
        <v>149</v>
      </c>
      <c r="E68" s="39" t="s">
        <v>144</v>
      </c>
      <c r="F68" s="1">
        <v>5</v>
      </c>
      <c r="G68" s="1">
        <v>3</v>
      </c>
      <c r="H68" s="1">
        <v>10</v>
      </c>
      <c r="I68" s="1">
        <v>1</v>
      </c>
      <c r="J68" s="1">
        <v>5</v>
      </c>
      <c r="K68" s="1">
        <v>10</v>
      </c>
      <c r="L68" s="1">
        <v>5</v>
      </c>
      <c r="M68" s="1">
        <v>20</v>
      </c>
      <c r="N68" s="1">
        <f t="shared" si="0"/>
        <v>59</v>
      </c>
      <c r="O68" s="6" t="str">
        <f t="shared" si="1"/>
        <v>B</v>
      </c>
    </row>
    <row r="69" spans="2:15" s="5" customFormat="1" ht="21" customHeight="1">
      <c r="B69" s="2">
        <v>64</v>
      </c>
      <c r="C69" s="39" t="s">
        <v>150</v>
      </c>
      <c r="D69" s="39" t="s">
        <v>151</v>
      </c>
      <c r="E69" s="39" t="s">
        <v>152</v>
      </c>
      <c r="F69" s="1">
        <v>5</v>
      </c>
      <c r="G69" s="1">
        <v>3</v>
      </c>
      <c r="H69" s="1">
        <v>10</v>
      </c>
      <c r="I69" s="1">
        <v>1</v>
      </c>
      <c r="J69" s="1">
        <v>5</v>
      </c>
      <c r="K69" s="1">
        <v>10</v>
      </c>
      <c r="L69" s="1">
        <v>5</v>
      </c>
      <c r="M69" s="1">
        <v>20</v>
      </c>
      <c r="N69" s="1">
        <f t="shared" si="0"/>
        <v>59</v>
      </c>
      <c r="O69" s="6" t="str">
        <f t="shared" si="1"/>
        <v>B</v>
      </c>
    </row>
    <row r="70" spans="2:15" s="5" customFormat="1" ht="21" customHeight="1">
      <c r="B70" s="2">
        <v>65</v>
      </c>
      <c r="C70" s="39" t="s">
        <v>153</v>
      </c>
      <c r="D70" s="39" t="s">
        <v>154</v>
      </c>
      <c r="E70" s="39" t="s">
        <v>152</v>
      </c>
      <c r="F70" s="1">
        <v>5</v>
      </c>
      <c r="G70" s="1">
        <v>3</v>
      </c>
      <c r="H70" s="1">
        <v>10</v>
      </c>
      <c r="I70" s="1">
        <v>1</v>
      </c>
      <c r="J70" s="1">
        <v>5</v>
      </c>
      <c r="K70" s="1">
        <v>10</v>
      </c>
      <c r="L70" s="1">
        <v>5</v>
      </c>
      <c r="M70" s="1">
        <v>20</v>
      </c>
      <c r="N70" s="1">
        <f t="shared" ref="N70:N133" si="2">SUBTOTAL(9,F70:M70)</f>
        <v>59</v>
      </c>
      <c r="O70" s="6" t="str">
        <f t="shared" si="1"/>
        <v>B</v>
      </c>
    </row>
    <row r="71" spans="2:15" s="5" customFormat="1" ht="21" customHeight="1">
      <c r="B71" s="2">
        <v>66</v>
      </c>
      <c r="C71" s="39" t="s">
        <v>155</v>
      </c>
      <c r="D71" s="39" t="s">
        <v>156</v>
      </c>
      <c r="E71" s="39" t="s">
        <v>29</v>
      </c>
      <c r="F71" s="1">
        <v>5</v>
      </c>
      <c r="G71" s="1">
        <v>3</v>
      </c>
      <c r="H71" s="1">
        <v>10</v>
      </c>
      <c r="I71" s="1">
        <v>1</v>
      </c>
      <c r="J71" s="1">
        <v>5</v>
      </c>
      <c r="K71" s="1">
        <v>10</v>
      </c>
      <c r="L71" s="1">
        <v>5</v>
      </c>
      <c r="M71" s="1">
        <v>20</v>
      </c>
      <c r="N71" s="1">
        <f t="shared" si="2"/>
        <v>59</v>
      </c>
      <c r="O71" s="6" t="str">
        <f t="shared" ref="O71:O134" si="3">IF(N71=0,0,IF(AND(N71&gt;=150,N71&lt;=205),"AA",IF(AND(N71&gt;=100,N71&lt;=149),"A",IF(AND(N71&gt;=40,N71&lt;=99),"B",IF(N71&lt;=41,"C","Erro")))))</f>
        <v>B</v>
      </c>
    </row>
    <row r="72" spans="2:15" s="5" customFormat="1" ht="21" customHeight="1">
      <c r="B72" s="2">
        <v>67</v>
      </c>
      <c r="C72" s="39" t="s">
        <v>157</v>
      </c>
      <c r="D72" s="39" t="s">
        <v>158</v>
      </c>
      <c r="E72" s="39" t="s">
        <v>29</v>
      </c>
      <c r="F72" s="1">
        <v>5</v>
      </c>
      <c r="G72" s="1">
        <v>3</v>
      </c>
      <c r="H72" s="1">
        <v>10</v>
      </c>
      <c r="I72" s="1">
        <v>1</v>
      </c>
      <c r="J72" s="1">
        <v>5</v>
      </c>
      <c r="K72" s="1">
        <v>10</v>
      </c>
      <c r="L72" s="1">
        <v>5</v>
      </c>
      <c r="M72" s="1">
        <v>20</v>
      </c>
      <c r="N72" s="1">
        <f t="shared" si="2"/>
        <v>59</v>
      </c>
      <c r="O72" s="6" t="str">
        <f t="shared" si="3"/>
        <v>B</v>
      </c>
    </row>
    <row r="73" spans="2:15" s="5" customFormat="1" ht="21" customHeight="1">
      <c r="B73" s="2">
        <v>68</v>
      </c>
      <c r="C73" s="39" t="s">
        <v>159</v>
      </c>
      <c r="D73" s="39" t="s">
        <v>160</v>
      </c>
      <c r="E73" s="39" t="s">
        <v>29</v>
      </c>
      <c r="F73" s="1">
        <v>5</v>
      </c>
      <c r="G73" s="1">
        <v>3</v>
      </c>
      <c r="H73" s="1">
        <v>10</v>
      </c>
      <c r="I73" s="1">
        <v>1</v>
      </c>
      <c r="J73" s="1">
        <v>5</v>
      </c>
      <c r="K73" s="1">
        <v>10</v>
      </c>
      <c r="L73" s="1">
        <v>5</v>
      </c>
      <c r="M73" s="1">
        <v>20</v>
      </c>
      <c r="N73" s="1">
        <f t="shared" si="2"/>
        <v>59</v>
      </c>
      <c r="O73" s="6" t="str">
        <f t="shared" si="3"/>
        <v>B</v>
      </c>
    </row>
    <row r="74" spans="2:15" s="5" customFormat="1" ht="21" customHeight="1">
      <c r="B74" s="2">
        <v>69</v>
      </c>
      <c r="C74" s="39" t="s">
        <v>161</v>
      </c>
      <c r="D74" s="39" t="s">
        <v>162</v>
      </c>
      <c r="E74" s="39" t="s">
        <v>29</v>
      </c>
      <c r="F74" s="1">
        <v>5</v>
      </c>
      <c r="G74" s="1">
        <v>3</v>
      </c>
      <c r="H74" s="1">
        <v>10</v>
      </c>
      <c r="I74" s="1">
        <v>1</v>
      </c>
      <c r="J74" s="1">
        <v>5</v>
      </c>
      <c r="K74" s="1">
        <v>10</v>
      </c>
      <c r="L74" s="1">
        <v>5</v>
      </c>
      <c r="M74" s="1">
        <v>20</v>
      </c>
      <c r="N74" s="1">
        <f t="shared" si="2"/>
        <v>59</v>
      </c>
      <c r="O74" s="6" t="str">
        <f t="shared" si="3"/>
        <v>B</v>
      </c>
    </row>
    <row r="75" spans="2:15" s="5" customFormat="1" ht="21" customHeight="1">
      <c r="B75" s="2">
        <v>70</v>
      </c>
      <c r="C75" s="39" t="s">
        <v>163</v>
      </c>
      <c r="D75" s="39" t="s">
        <v>164</v>
      </c>
      <c r="E75" s="39" t="s">
        <v>147</v>
      </c>
      <c r="F75" s="1">
        <v>5</v>
      </c>
      <c r="G75" s="1">
        <v>3</v>
      </c>
      <c r="H75" s="1">
        <v>10</v>
      </c>
      <c r="I75" s="1">
        <v>1</v>
      </c>
      <c r="J75" s="1">
        <v>5</v>
      </c>
      <c r="K75" s="1">
        <v>10</v>
      </c>
      <c r="L75" s="1">
        <v>5</v>
      </c>
      <c r="M75" s="1">
        <v>20</v>
      </c>
      <c r="N75" s="1">
        <f t="shared" si="2"/>
        <v>59</v>
      </c>
      <c r="O75" s="6" t="str">
        <f t="shared" si="3"/>
        <v>B</v>
      </c>
    </row>
    <row r="76" spans="2:15" s="5" customFormat="1" ht="21" customHeight="1">
      <c r="B76" s="2">
        <v>71</v>
      </c>
      <c r="C76" s="39" t="s">
        <v>165</v>
      </c>
      <c r="D76" s="39" t="s">
        <v>166</v>
      </c>
      <c r="E76" s="39" t="s">
        <v>147</v>
      </c>
      <c r="F76" s="1">
        <v>5</v>
      </c>
      <c r="G76" s="1">
        <v>3</v>
      </c>
      <c r="H76" s="1">
        <v>10</v>
      </c>
      <c r="I76" s="1">
        <v>1</v>
      </c>
      <c r="J76" s="1">
        <v>5</v>
      </c>
      <c r="K76" s="1">
        <v>10</v>
      </c>
      <c r="L76" s="1">
        <v>5</v>
      </c>
      <c r="M76" s="1">
        <v>20</v>
      </c>
      <c r="N76" s="1">
        <f t="shared" si="2"/>
        <v>59</v>
      </c>
      <c r="O76" s="6" t="str">
        <f t="shared" si="3"/>
        <v>B</v>
      </c>
    </row>
    <row r="77" spans="2:15" s="5" customFormat="1" ht="21" customHeight="1">
      <c r="B77" s="2">
        <v>72</v>
      </c>
      <c r="C77" s="39" t="s">
        <v>167</v>
      </c>
      <c r="D77" s="39" t="s">
        <v>168</v>
      </c>
      <c r="E77" s="39" t="s">
        <v>147</v>
      </c>
      <c r="F77" s="1">
        <v>5</v>
      </c>
      <c r="G77" s="1">
        <v>3</v>
      </c>
      <c r="H77" s="1">
        <v>10</v>
      </c>
      <c r="I77" s="1">
        <v>1</v>
      </c>
      <c r="J77" s="1">
        <v>5</v>
      </c>
      <c r="K77" s="1">
        <v>10</v>
      </c>
      <c r="L77" s="1">
        <v>5</v>
      </c>
      <c r="M77" s="1">
        <v>20</v>
      </c>
      <c r="N77" s="1">
        <f t="shared" si="2"/>
        <v>59</v>
      </c>
      <c r="O77" s="6" t="str">
        <f t="shared" si="3"/>
        <v>B</v>
      </c>
    </row>
    <row r="78" spans="2:15" s="5" customFormat="1" ht="21" customHeight="1">
      <c r="B78" s="2">
        <v>73</v>
      </c>
      <c r="C78" s="39" t="s">
        <v>169</v>
      </c>
      <c r="D78" s="39" t="s">
        <v>170</v>
      </c>
      <c r="E78" s="39" t="s">
        <v>147</v>
      </c>
      <c r="F78" s="1">
        <v>5</v>
      </c>
      <c r="G78" s="1">
        <v>3</v>
      </c>
      <c r="H78" s="1">
        <v>10</v>
      </c>
      <c r="I78" s="1">
        <v>1</v>
      </c>
      <c r="J78" s="1">
        <v>5</v>
      </c>
      <c r="K78" s="1">
        <v>10</v>
      </c>
      <c r="L78" s="1">
        <v>5</v>
      </c>
      <c r="M78" s="1">
        <v>20</v>
      </c>
      <c r="N78" s="1">
        <f t="shared" si="2"/>
        <v>59</v>
      </c>
      <c r="O78" s="6" t="str">
        <f t="shared" si="3"/>
        <v>B</v>
      </c>
    </row>
    <row r="79" spans="2:15" s="5" customFormat="1" ht="21" customHeight="1">
      <c r="B79" s="2">
        <v>74</v>
      </c>
      <c r="C79" s="39" t="s">
        <v>171</v>
      </c>
      <c r="D79" s="39" t="s">
        <v>172</v>
      </c>
      <c r="E79" s="39" t="s">
        <v>147</v>
      </c>
      <c r="F79" s="1">
        <v>5</v>
      </c>
      <c r="G79" s="1">
        <v>3</v>
      </c>
      <c r="H79" s="1">
        <v>10</v>
      </c>
      <c r="I79" s="1">
        <v>1</v>
      </c>
      <c r="J79" s="1">
        <v>5</v>
      </c>
      <c r="K79" s="1">
        <v>10</v>
      </c>
      <c r="L79" s="1">
        <v>5</v>
      </c>
      <c r="M79" s="1">
        <v>20</v>
      </c>
      <c r="N79" s="1">
        <f t="shared" si="2"/>
        <v>59</v>
      </c>
      <c r="O79" s="6" t="str">
        <f t="shared" si="3"/>
        <v>B</v>
      </c>
    </row>
    <row r="80" spans="2:15" s="5" customFormat="1" ht="21" customHeight="1">
      <c r="B80" s="2">
        <v>75</v>
      </c>
      <c r="C80" s="39" t="s">
        <v>173</v>
      </c>
      <c r="D80" s="39" t="s">
        <v>174</v>
      </c>
      <c r="E80" s="39" t="s">
        <v>147</v>
      </c>
      <c r="F80" s="1">
        <v>5</v>
      </c>
      <c r="G80" s="1">
        <v>3</v>
      </c>
      <c r="H80" s="1">
        <v>10</v>
      </c>
      <c r="I80" s="1">
        <v>1</v>
      </c>
      <c r="J80" s="1">
        <v>5</v>
      </c>
      <c r="K80" s="1">
        <v>10</v>
      </c>
      <c r="L80" s="1">
        <v>5</v>
      </c>
      <c r="M80" s="1">
        <v>20</v>
      </c>
      <c r="N80" s="1">
        <f t="shared" si="2"/>
        <v>59</v>
      </c>
      <c r="O80" s="6" t="str">
        <f t="shared" si="3"/>
        <v>B</v>
      </c>
    </row>
    <row r="81" spans="2:15" s="5" customFormat="1" ht="21" customHeight="1">
      <c r="B81" s="2">
        <v>76</v>
      </c>
      <c r="C81" s="39" t="s">
        <v>175</v>
      </c>
      <c r="D81" s="39" t="s">
        <v>176</v>
      </c>
      <c r="E81" s="39" t="s">
        <v>147</v>
      </c>
      <c r="F81" s="1">
        <v>5</v>
      </c>
      <c r="G81" s="1">
        <v>3</v>
      </c>
      <c r="H81" s="1">
        <v>10</v>
      </c>
      <c r="I81" s="1">
        <v>1</v>
      </c>
      <c r="J81" s="1">
        <v>5</v>
      </c>
      <c r="K81" s="1">
        <v>10</v>
      </c>
      <c r="L81" s="1">
        <v>5</v>
      </c>
      <c r="M81" s="1">
        <v>20</v>
      </c>
      <c r="N81" s="1">
        <f t="shared" si="2"/>
        <v>59</v>
      </c>
      <c r="O81" s="6" t="str">
        <f t="shared" si="3"/>
        <v>B</v>
      </c>
    </row>
    <row r="82" spans="2:15" s="5" customFormat="1" ht="21" customHeight="1">
      <c r="B82" s="2">
        <v>77</v>
      </c>
      <c r="C82" s="39" t="s">
        <v>177</v>
      </c>
      <c r="D82" s="39" t="s">
        <v>178</v>
      </c>
      <c r="E82" s="39" t="s">
        <v>147</v>
      </c>
      <c r="F82" s="1">
        <v>5</v>
      </c>
      <c r="G82" s="1">
        <v>3</v>
      </c>
      <c r="H82" s="1">
        <v>10</v>
      </c>
      <c r="I82" s="1">
        <v>1</v>
      </c>
      <c r="J82" s="1">
        <v>5</v>
      </c>
      <c r="K82" s="1">
        <v>10</v>
      </c>
      <c r="L82" s="1">
        <v>5</v>
      </c>
      <c r="M82" s="1">
        <v>20</v>
      </c>
      <c r="N82" s="1">
        <f t="shared" si="2"/>
        <v>59</v>
      </c>
      <c r="O82" s="6" t="str">
        <f t="shared" si="3"/>
        <v>B</v>
      </c>
    </row>
    <row r="83" spans="2:15" s="5" customFormat="1" ht="21" customHeight="1">
      <c r="B83" s="2">
        <v>78</v>
      </c>
      <c r="C83" s="39" t="s">
        <v>179</v>
      </c>
      <c r="D83" s="39" t="s">
        <v>180</v>
      </c>
      <c r="E83" s="39" t="s">
        <v>181</v>
      </c>
      <c r="F83" s="1">
        <v>5</v>
      </c>
      <c r="G83" s="1">
        <v>3</v>
      </c>
      <c r="H83" s="1">
        <v>10</v>
      </c>
      <c r="I83" s="1">
        <v>1</v>
      </c>
      <c r="J83" s="1">
        <v>5</v>
      </c>
      <c r="K83" s="1">
        <v>10</v>
      </c>
      <c r="L83" s="1">
        <v>5</v>
      </c>
      <c r="M83" s="1">
        <v>20</v>
      </c>
      <c r="N83" s="1">
        <f t="shared" si="2"/>
        <v>59</v>
      </c>
      <c r="O83" s="6" t="str">
        <f t="shared" si="3"/>
        <v>B</v>
      </c>
    </row>
    <row r="84" spans="2:15" s="5" customFormat="1" ht="21" customHeight="1">
      <c r="B84" s="2">
        <v>79</v>
      </c>
      <c r="C84" s="39" t="s">
        <v>182</v>
      </c>
      <c r="D84" s="39" t="s">
        <v>183</v>
      </c>
      <c r="E84" s="39" t="s">
        <v>18</v>
      </c>
      <c r="F84" s="1">
        <v>35</v>
      </c>
      <c r="G84" s="1">
        <v>3</v>
      </c>
      <c r="H84" s="1">
        <v>10</v>
      </c>
      <c r="I84" s="1">
        <v>5</v>
      </c>
      <c r="J84" s="1">
        <v>5</v>
      </c>
      <c r="K84" s="1">
        <v>10</v>
      </c>
      <c r="L84" s="1">
        <v>1</v>
      </c>
      <c r="M84" s="1">
        <v>80</v>
      </c>
      <c r="N84" s="1">
        <f t="shared" si="2"/>
        <v>149</v>
      </c>
      <c r="O84" s="6" t="str">
        <f t="shared" si="3"/>
        <v>A</v>
      </c>
    </row>
    <row r="85" spans="2:15" s="5" customFormat="1" ht="21" customHeight="1">
      <c r="B85" s="2">
        <v>80</v>
      </c>
      <c r="C85" s="39" t="s">
        <v>184</v>
      </c>
      <c r="D85" s="39" t="s">
        <v>185</v>
      </c>
      <c r="E85" s="39" t="s">
        <v>18</v>
      </c>
      <c r="F85" s="1">
        <v>35</v>
      </c>
      <c r="G85" s="1">
        <v>3</v>
      </c>
      <c r="H85" s="1">
        <v>10</v>
      </c>
      <c r="I85" s="1">
        <v>5</v>
      </c>
      <c r="J85" s="1">
        <v>5</v>
      </c>
      <c r="K85" s="1">
        <v>10</v>
      </c>
      <c r="L85" s="1">
        <v>1</v>
      </c>
      <c r="M85" s="1">
        <v>40</v>
      </c>
      <c r="N85" s="1">
        <f t="shared" si="2"/>
        <v>109</v>
      </c>
      <c r="O85" s="6" t="str">
        <f t="shared" si="3"/>
        <v>A</v>
      </c>
    </row>
    <row r="86" spans="2:15" s="5" customFormat="1" ht="21" customHeight="1">
      <c r="B86" s="2">
        <v>81</v>
      </c>
      <c r="C86" s="39" t="s">
        <v>186</v>
      </c>
      <c r="D86" s="39" t="s">
        <v>187</v>
      </c>
      <c r="E86" s="39" t="s">
        <v>18</v>
      </c>
      <c r="F86" s="1">
        <v>35</v>
      </c>
      <c r="G86" s="1">
        <v>3</v>
      </c>
      <c r="H86" s="1">
        <v>10</v>
      </c>
      <c r="I86" s="1">
        <v>5</v>
      </c>
      <c r="J86" s="1">
        <v>5</v>
      </c>
      <c r="K86" s="1">
        <v>10</v>
      </c>
      <c r="L86" s="1">
        <v>1</v>
      </c>
      <c r="M86" s="1">
        <v>40</v>
      </c>
      <c r="N86" s="1">
        <f t="shared" si="2"/>
        <v>109</v>
      </c>
      <c r="O86" s="6" t="str">
        <f t="shared" si="3"/>
        <v>A</v>
      </c>
    </row>
    <row r="87" spans="2:15" s="5" customFormat="1" ht="21" customHeight="1">
      <c r="B87" s="2">
        <v>82</v>
      </c>
      <c r="C87" s="39" t="s">
        <v>188</v>
      </c>
      <c r="D87" s="39" t="s">
        <v>189</v>
      </c>
      <c r="E87" s="39" t="s">
        <v>18</v>
      </c>
      <c r="F87" s="1">
        <v>35</v>
      </c>
      <c r="G87" s="1">
        <v>3</v>
      </c>
      <c r="H87" s="1">
        <v>10</v>
      </c>
      <c r="I87" s="1">
        <v>5</v>
      </c>
      <c r="J87" s="1">
        <v>5</v>
      </c>
      <c r="K87" s="1">
        <v>10</v>
      </c>
      <c r="L87" s="1">
        <v>1</v>
      </c>
      <c r="M87" s="1">
        <v>80</v>
      </c>
      <c r="N87" s="1">
        <f t="shared" si="2"/>
        <v>149</v>
      </c>
      <c r="O87" s="6" t="str">
        <f t="shared" si="3"/>
        <v>A</v>
      </c>
    </row>
    <row r="88" spans="2:15" s="5" customFormat="1" ht="21" customHeight="1">
      <c r="B88" s="2">
        <v>83</v>
      </c>
      <c r="C88" s="39" t="s">
        <v>190</v>
      </c>
      <c r="D88" s="39" t="s">
        <v>191</v>
      </c>
      <c r="E88" s="39" t="s">
        <v>18</v>
      </c>
      <c r="F88" s="1">
        <v>5</v>
      </c>
      <c r="G88" s="1">
        <v>3</v>
      </c>
      <c r="H88" s="1">
        <v>1</v>
      </c>
      <c r="I88" s="1">
        <v>5</v>
      </c>
      <c r="J88" s="1">
        <v>1</v>
      </c>
      <c r="K88" s="1">
        <v>1</v>
      </c>
      <c r="L88" s="1">
        <v>1</v>
      </c>
      <c r="M88" s="1">
        <v>60</v>
      </c>
      <c r="N88" s="1">
        <f>SUBTOTAL(9,F88:M88)</f>
        <v>77</v>
      </c>
      <c r="O88" s="6" t="str">
        <f t="shared" si="3"/>
        <v>B</v>
      </c>
    </row>
    <row r="89" spans="2:15" s="5" customFormat="1" ht="21" customHeight="1">
      <c r="B89" s="2">
        <v>84</v>
      </c>
      <c r="C89" s="39" t="s">
        <v>192</v>
      </c>
      <c r="D89" s="39" t="s">
        <v>193</v>
      </c>
      <c r="E89" s="39" t="s">
        <v>18</v>
      </c>
      <c r="F89" s="1">
        <v>5</v>
      </c>
      <c r="G89" s="1">
        <v>3</v>
      </c>
      <c r="H89" s="1">
        <v>1</v>
      </c>
      <c r="I89" s="1">
        <v>5</v>
      </c>
      <c r="J89" s="1">
        <v>1</v>
      </c>
      <c r="K89" s="1">
        <v>1</v>
      </c>
      <c r="L89" s="1">
        <v>1</v>
      </c>
      <c r="M89" s="1">
        <v>60</v>
      </c>
      <c r="N89" s="1">
        <f t="shared" si="2"/>
        <v>77</v>
      </c>
      <c r="O89" s="6" t="str">
        <f t="shared" si="3"/>
        <v>B</v>
      </c>
    </row>
    <row r="90" spans="2:15" s="5" customFormat="1" ht="21" customHeight="1">
      <c r="B90" s="2">
        <v>85</v>
      </c>
      <c r="C90" s="39" t="s">
        <v>194</v>
      </c>
      <c r="D90" s="39" t="s">
        <v>195</v>
      </c>
      <c r="E90" s="39" t="s">
        <v>196</v>
      </c>
      <c r="F90" s="1">
        <v>15</v>
      </c>
      <c r="G90" s="1">
        <v>3</v>
      </c>
      <c r="H90" s="1">
        <v>1</v>
      </c>
      <c r="I90" s="1">
        <v>5</v>
      </c>
      <c r="J90" s="1">
        <v>1</v>
      </c>
      <c r="K90" s="1">
        <v>1</v>
      </c>
      <c r="L90" s="1">
        <v>1</v>
      </c>
      <c r="M90" s="1">
        <v>40</v>
      </c>
      <c r="N90" s="1">
        <f t="shared" si="2"/>
        <v>67</v>
      </c>
      <c r="O90" s="6" t="str">
        <f t="shared" si="3"/>
        <v>B</v>
      </c>
    </row>
    <row r="91" spans="2:15" s="5" customFormat="1" ht="21" customHeight="1">
      <c r="B91" s="2">
        <v>86</v>
      </c>
      <c r="C91" s="39" t="s">
        <v>197</v>
      </c>
      <c r="D91" s="39" t="s">
        <v>198</v>
      </c>
      <c r="E91" s="39" t="s">
        <v>181</v>
      </c>
      <c r="F91" s="1">
        <v>15</v>
      </c>
      <c r="G91" s="1">
        <v>3</v>
      </c>
      <c r="H91" s="1">
        <v>1</v>
      </c>
      <c r="I91" s="1">
        <v>5</v>
      </c>
      <c r="J91" s="1">
        <v>1</v>
      </c>
      <c r="K91" s="1">
        <v>1</v>
      </c>
      <c r="L91" s="1">
        <v>1</v>
      </c>
      <c r="M91" s="1">
        <v>40</v>
      </c>
      <c r="N91" s="1">
        <f t="shared" si="2"/>
        <v>67</v>
      </c>
      <c r="O91" s="6" t="str">
        <f t="shared" si="3"/>
        <v>B</v>
      </c>
    </row>
    <row r="92" spans="2:15" s="5" customFormat="1" ht="21" customHeight="1">
      <c r="B92" s="2">
        <v>87</v>
      </c>
      <c r="C92" s="39" t="s">
        <v>199</v>
      </c>
      <c r="D92" s="39" t="s">
        <v>200</v>
      </c>
      <c r="E92" s="39" t="s">
        <v>181</v>
      </c>
      <c r="F92" s="1">
        <v>15</v>
      </c>
      <c r="G92" s="1">
        <v>3</v>
      </c>
      <c r="H92" s="1">
        <v>1</v>
      </c>
      <c r="I92" s="1">
        <v>5</v>
      </c>
      <c r="J92" s="1">
        <v>1</v>
      </c>
      <c r="K92" s="1">
        <v>1</v>
      </c>
      <c r="L92" s="1">
        <v>1</v>
      </c>
      <c r="M92" s="1">
        <v>40</v>
      </c>
      <c r="N92" s="1">
        <f t="shared" si="2"/>
        <v>67</v>
      </c>
      <c r="O92" s="6" t="str">
        <f t="shared" si="3"/>
        <v>B</v>
      </c>
    </row>
    <row r="93" spans="2:15" s="5" customFormat="1" ht="21" customHeight="1">
      <c r="B93" s="2">
        <v>88</v>
      </c>
      <c r="C93" s="39" t="s">
        <v>201</v>
      </c>
      <c r="D93" s="39" t="s">
        <v>202</v>
      </c>
      <c r="E93" s="39" t="s">
        <v>196</v>
      </c>
      <c r="F93" s="1">
        <v>15</v>
      </c>
      <c r="G93" s="1">
        <v>3</v>
      </c>
      <c r="H93" s="1">
        <v>1</v>
      </c>
      <c r="I93" s="1">
        <v>5</v>
      </c>
      <c r="J93" s="1">
        <v>1</v>
      </c>
      <c r="K93" s="1">
        <v>1</v>
      </c>
      <c r="L93" s="1">
        <v>1</v>
      </c>
      <c r="M93" s="1">
        <v>40</v>
      </c>
      <c r="N93" s="1">
        <f t="shared" si="2"/>
        <v>67</v>
      </c>
      <c r="O93" s="6" t="str">
        <f t="shared" si="3"/>
        <v>B</v>
      </c>
    </row>
    <row r="94" spans="2:15" s="5" customFormat="1" ht="21" customHeight="1">
      <c r="B94" s="2">
        <v>89</v>
      </c>
      <c r="C94" s="39" t="s">
        <v>203</v>
      </c>
      <c r="D94" s="39" t="s">
        <v>204</v>
      </c>
      <c r="E94" s="39" t="s">
        <v>196</v>
      </c>
      <c r="F94" s="1">
        <v>15</v>
      </c>
      <c r="G94" s="1">
        <v>3</v>
      </c>
      <c r="H94" s="1">
        <v>1</v>
      </c>
      <c r="I94" s="1">
        <v>5</v>
      </c>
      <c r="J94" s="1">
        <v>1</v>
      </c>
      <c r="K94" s="1">
        <v>1</v>
      </c>
      <c r="L94" s="1">
        <v>1</v>
      </c>
      <c r="M94" s="1">
        <v>40</v>
      </c>
      <c r="N94" s="1">
        <f t="shared" si="2"/>
        <v>67</v>
      </c>
      <c r="O94" s="6" t="str">
        <f t="shared" si="3"/>
        <v>B</v>
      </c>
    </row>
    <row r="95" spans="2:15" s="5" customFormat="1" ht="21" customHeight="1">
      <c r="B95" s="2">
        <v>90</v>
      </c>
      <c r="C95" s="39" t="s">
        <v>205</v>
      </c>
      <c r="D95" s="39" t="s">
        <v>206</v>
      </c>
      <c r="E95" s="39" t="s">
        <v>181</v>
      </c>
      <c r="F95" s="1">
        <v>15</v>
      </c>
      <c r="G95" s="1">
        <v>3</v>
      </c>
      <c r="H95" s="1">
        <v>1</v>
      </c>
      <c r="I95" s="1">
        <v>5</v>
      </c>
      <c r="J95" s="1">
        <v>1</v>
      </c>
      <c r="K95" s="1">
        <v>1</v>
      </c>
      <c r="L95" s="1">
        <v>1</v>
      </c>
      <c r="M95" s="1">
        <v>40</v>
      </c>
      <c r="N95" s="1">
        <f t="shared" si="2"/>
        <v>67</v>
      </c>
      <c r="O95" s="6" t="str">
        <f t="shared" si="3"/>
        <v>B</v>
      </c>
    </row>
    <row r="96" spans="2:15" s="5" customFormat="1" ht="21" customHeight="1">
      <c r="B96" s="2">
        <v>91</v>
      </c>
      <c r="C96" s="39" t="s">
        <v>207</v>
      </c>
      <c r="D96" s="39" t="s">
        <v>208</v>
      </c>
      <c r="E96" s="39" t="s">
        <v>181</v>
      </c>
      <c r="F96" s="1">
        <v>15</v>
      </c>
      <c r="G96" s="1">
        <v>3</v>
      </c>
      <c r="H96" s="1">
        <v>1</v>
      </c>
      <c r="I96" s="1">
        <v>5</v>
      </c>
      <c r="J96" s="1">
        <v>1</v>
      </c>
      <c r="K96" s="1">
        <v>1</v>
      </c>
      <c r="L96" s="1">
        <v>1</v>
      </c>
      <c r="M96" s="1">
        <v>40</v>
      </c>
      <c r="N96" s="1">
        <f t="shared" si="2"/>
        <v>67</v>
      </c>
      <c r="O96" s="6" t="str">
        <f t="shared" si="3"/>
        <v>B</v>
      </c>
    </row>
    <row r="97" spans="2:15" s="5" customFormat="1" ht="21" customHeight="1">
      <c r="B97" s="2">
        <v>92</v>
      </c>
      <c r="C97" s="39" t="s">
        <v>209</v>
      </c>
      <c r="D97" s="39" t="s">
        <v>210</v>
      </c>
      <c r="E97" s="39" t="s">
        <v>181</v>
      </c>
      <c r="F97" s="1">
        <v>15</v>
      </c>
      <c r="G97" s="1">
        <v>3</v>
      </c>
      <c r="H97" s="1">
        <v>1</v>
      </c>
      <c r="I97" s="1">
        <v>5</v>
      </c>
      <c r="J97" s="1">
        <v>1</v>
      </c>
      <c r="K97" s="1">
        <v>1</v>
      </c>
      <c r="L97" s="1">
        <v>1</v>
      </c>
      <c r="M97" s="1">
        <v>40</v>
      </c>
      <c r="N97" s="1">
        <f t="shared" si="2"/>
        <v>67</v>
      </c>
      <c r="O97" s="6" t="str">
        <f t="shared" si="3"/>
        <v>B</v>
      </c>
    </row>
    <row r="98" spans="2:15" s="5" customFormat="1" ht="21" customHeight="1">
      <c r="B98" s="2">
        <v>93</v>
      </c>
      <c r="C98" s="39" t="s">
        <v>211</v>
      </c>
      <c r="D98" s="39" t="s">
        <v>212</v>
      </c>
      <c r="E98" s="39" t="s">
        <v>36</v>
      </c>
      <c r="F98" s="1">
        <v>15</v>
      </c>
      <c r="G98" s="1">
        <v>3</v>
      </c>
      <c r="H98" s="1">
        <v>1</v>
      </c>
      <c r="I98" s="1">
        <v>5</v>
      </c>
      <c r="J98" s="1">
        <v>1</v>
      </c>
      <c r="K98" s="1">
        <v>1</v>
      </c>
      <c r="L98" s="1">
        <v>1</v>
      </c>
      <c r="M98" s="1">
        <v>40</v>
      </c>
      <c r="N98" s="1">
        <f t="shared" si="2"/>
        <v>67</v>
      </c>
      <c r="O98" s="6" t="str">
        <f t="shared" si="3"/>
        <v>B</v>
      </c>
    </row>
    <row r="99" spans="2:15" s="5" customFormat="1" ht="21" customHeight="1">
      <c r="B99" s="2">
        <v>94</v>
      </c>
      <c r="C99" s="39" t="s">
        <v>213</v>
      </c>
      <c r="D99" s="39" t="s">
        <v>214</v>
      </c>
      <c r="E99" s="39" t="s">
        <v>181</v>
      </c>
      <c r="F99" s="1">
        <v>15</v>
      </c>
      <c r="G99" s="1">
        <v>3</v>
      </c>
      <c r="H99" s="1">
        <v>1</v>
      </c>
      <c r="I99" s="1">
        <v>5</v>
      </c>
      <c r="J99" s="1">
        <v>1</v>
      </c>
      <c r="K99" s="1">
        <v>1</v>
      </c>
      <c r="L99" s="1">
        <v>1</v>
      </c>
      <c r="M99" s="1">
        <v>40</v>
      </c>
      <c r="N99" s="1">
        <f t="shared" si="2"/>
        <v>67</v>
      </c>
      <c r="O99" s="6" t="str">
        <f t="shared" si="3"/>
        <v>B</v>
      </c>
    </row>
    <row r="100" spans="2:15" s="5" customFormat="1" ht="21" customHeight="1">
      <c r="B100" s="2">
        <v>95</v>
      </c>
      <c r="C100" s="39" t="s">
        <v>215</v>
      </c>
      <c r="D100" s="39" t="s">
        <v>216</v>
      </c>
      <c r="E100" s="39" t="s">
        <v>181</v>
      </c>
      <c r="F100" s="1">
        <v>15</v>
      </c>
      <c r="G100" s="1">
        <v>3</v>
      </c>
      <c r="H100" s="1">
        <v>1</v>
      </c>
      <c r="I100" s="1">
        <v>5</v>
      </c>
      <c r="J100" s="1">
        <v>1</v>
      </c>
      <c r="K100" s="1">
        <v>1</v>
      </c>
      <c r="L100" s="1">
        <v>1</v>
      </c>
      <c r="M100" s="1">
        <v>40</v>
      </c>
      <c r="N100" s="1">
        <f t="shared" si="2"/>
        <v>67</v>
      </c>
      <c r="O100" s="6" t="str">
        <f t="shared" si="3"/>
        <v>B</v>
      </c>
    </row>
    <row r="101" spans="2:15" s="5" customFormat="1" ht="21" customHeight="1">
      <c r="B101" s="2">
        <v>96</v>
      </c>
      <c r="C101" s="39" t="s">
        <v>217</v>
      </c>
      <c r="D101" s="39" t="s">
        <v>218</v>
      </c>
      <c r="E101" s="39" t="s">
        <v>181</v>
      </c>
      <c r="F101" s="1">
        <v>15</v>
      </c>
      <c r="G101" s="1">
        <v>3</v>
      </c>
      <c r="H101" s="1">
        <v>1</v>
      </c>
      <c r="I101" s="1">
        <v>5</v>
      </c>
      <c r="J101" s="1">
        <v>1</v>
      </c>
      <c r="K101" s="1">
        <v>1</v>
      </c>
      <c r="L101" s="1">
        <v>1</v>
      </c>
      <c r="M101" s="1">
        <v>40</v>
      </c>
      <c r="N101" s="1">
        <f t="shared" si="2"/>
        <v>67</v>
      </c>
      <c r="O101" s="6" t="str">
        <f t="shared" si="3"/>
        <v>B</v>
      </c>
    </row>
    <row r="102" spans="2:15" s="5" customFormat="1" ht="21" customHeight="1">
      <c r="B102" s="2">
        <v>97</v>
      </c>
      <c r="C102" s="39" t="s">
        <v>219</v>
      </c>
      <c r="D102" s="39" t="s">
        <v>220</v>
      </c>
      <c r="E102" s="39" t="s">
        <v>221</v>
      </c>
      <c r="F102" s="1">
        <v>1</v>
      </c>
      <c r="G102" s="1">
        <v>3</v>
      </c>
      <c r="H102" s="1">
        <v>10</v>
      </c>
      <c r="I102" s="1">
        <v>1</v>
      </c>
      <c r="J102" s="1">
        <v>1</v>
      </c>
      <c r="K102" s="1">
        <v>1</v>
      </c>
      <c r="L102" s="1">
        <v>1</v>
      </c>
      <c r="M102" s="1">
        <v>20</v>
      </c>
      <c r="N102" s="1">
        <f t="shared" si="2"/>
        <v>38</v>
      </c>
      <c r="O102" s="6" t="str">
        <f t="shared" si="3"/>
        <v>C</v>
      </c>
    </row>
    <row r="103" spans="2:15" s="5" customFormat="1" ht="21" customHeight="1">
      <c r="B103" s="2">
        <v>98</v>
      </c>
      <c r="C103" s="39" t="s">
        <v>222</v>
      </c>
      <c r="D103" s="39" t="s">
        <v>223</v>
      </c>
      <c r="E103" s="39" t="s">
        <v>221</v>
      </c>
      <c r="F103" s="1">
        <v>1</v>
      </c>
      <c r="G103" s="1">
        <v>3</v>
      </c>
      <c r="H103" s="1">
        <v>10</v>
      </c>
      <c r="I103" s="1">
        <v>1</v>
      </c>
      <c r="J103" s="1">
        <v>1</v>
      </c>
      <c r="K103" s="1">
        <v>1</v>
      </c>
      <c r="L103" s="1">
        <v>1</v>
      </c>
      <c r="M103" s="1">
        <v>20</v>
      </c>
      <c r="N103" s="1">
        <f t="shared" si="2"/>
        <v>38</v>
      </c>
      <c r="O103" s="6" t="str">
        <f t="shared" si="3"/>
        <v>C</v>
      </c>
    </row>
    <row r="104" spans="2:15" s="5" customFormat="1" ht="21" customHeight="1">
      <c r="B104" s="2">
        <v>99</v>
      </c>
      <c r="C104" s="39" t="s">
        <v>224</v>
      </c>
      <c r="D104" s="39" t="s">
        <v>225</v>
      </c>
      <c r="E104" s="39" t="s">
        <v>181</v>
      </c>
      <c r="F104" s="1">
        <v>35</v>
      </c>
      <c r="G104" s="1">
        <v>3</v>
      </c>
      <c r="H104" s="1">
        <v>10</v>
      </c>
      <c r="I104" s="1">
        <v>5</v>
      </c>
      <c r="J104" s="1">
        <v>5</v>
      </c>
      <c r="K104" s="1">
        <v>10</v>
      </c>
      <c r="L104" s="1">
        <v>1</v>
      </c>
      <c r="M104" s="1">
        <v>80</v>
      </c>
      <c r="N104" s="1">
        <f t="shared" si="2"/>
        <v>149</v>
      </c>
      <c r="O104" s="6" t="str">
        <f t="shared" si="3"/>
        <v>A</v>
      </c>
    </row>
    <row r="105" spans="2:15" s="5" customFormat="1" ht="21" customHeight="1">
      <c r="B105" s="2">
        <v>100</v>
      </c>
      <c r="C105" s="39" t="s">
        <v>226</v>
      </c>
      <c r="D105" s="39" t="s">
        <v>227</v>
      </c>
      <c r="E105" s="39" t="s">
        <v>181</v>
      </c>
      <c r="F105" s="1">
        <v>35</v>
      </c>
      <c r="G105" s="1">
        <v>3</v>
      </c>
      <c r="H105" s="1">
        <v>10</v>
      </c>
      <c r="I105" s="1">
        <v>5</v>
      </c>
      <c r="J105" s="1">
        <v>5</v>
      </c>
      <c r="K105" s="1">
        <v>10</v>
      </c>
      <c r="L105" s="1">
        <v>1</v>
      </c>
      <c r="M105" s="1">
        <v>80</v>
      </c>
      <c r="N105" s="1">
        <f t="shared" si="2"/>
        <v>149</v>
      </c>
      <c r="O105" s="6" t="str">
        <f t="shared" si="3"/>
        <v>A</v>
      </c>
    </row>
    <row r="106" spans="2:15" s="5" customFormat="1" ht="21" customHeight="1">
      <c r="B106" s="2">
        <v>101</v>
      </c>
      <c r="C106" s="39" t="s">
        <v>228</v>
      </c>
      <c r="D106" s="39" t="s">
        <v>229</v>
      </c>
      <c r="E106" s="39" t="s">
        <v>29</v>
      </c>
      <c r="F106" s="1">
        <v>35</v>
      </c>
      <c r="G106" s="1">
        <v>3</v>
      </c>
      <c r="H106" s="1">
        <v>10</v>
      </c>
      <c r="I106" s="1">
        <v>5</v>
      </c>
      <c r="J106" s="1">
        <v>5</v>
      </c>
      <c r="K106" s="1">
        <v>10</v>
      </c>
      <c r="L106" s="1">
        <v>1</v>
      </c>
      <c r="M106" s="1">
        <v>40</v>
      </c>
      <c r="N106" s="1">
        <f t="shared" si="2"/>
        <v>109</v>
      </c>
      <c r="O106" s="6" t="str">
        <f t="shared" si="3"/>
        <v>A</v>
      </c>
    </row>
    <row r="107" spans="2:15" s="5" customFormat="1" ht="21" customHeight="1">
      <c r="B107" s="2">
        <v>102</v>
      </c>
      <c r="C107" s="39" t="s">
        <v>230</v>
      </c>
      <c r="D107" s="39" t="s">
        <v>231</v>
      </c>
      <c r="E107" s="39" t="s">
        <v>29</v>
      </c>
      <c r="F107" s="1">
        <v>35</v>
      </c>
      <c r="G107" s="1">
        <v>3</v>
      </c>
      <c r="H107" s="1">
        <v>10</v>
      </c>
      <c r="I107" s="1">
        <v>5</v>
      </c>
      <c r="J107" s="1">
        <v>5</v>
      </c>
      <c r="K107" s="1">
        <v>10</v>
      </c>
      <c r="L107" s="1">
        <v>1</v>
      </c>
      <c r="M107" s="1">
        <v>40</v>
      </c>
      <c r="N107" s="1">
        <f t="shared" si="2"/>
        <v>109</v>
      </c>
      <c r="O107" s="6" t="str">
        <f t="shared" si="3"/>
        <v>A</v>
      </c>
    </row>
    <row r="108" spans="2:15" s="5" customFormat="1" ht="21" customHeight="1">
      <c r="B108" s="2">
        <v>103</v>
      </c>
      <c r="C108" s="39" t="s">
        <v>232</v>
      </c>
      <c r="D108" s="39" t="s">
        <v>233</v>
      </c>
      <c r="E108" s="39" t="s">
        <v>234</v>
      </c>
      <c r="F108" s="1">
        <v>15</v>
      </c>
      <c r="G108" s="1">
        <v>5</v>
      </c>
      <c r="H108" s="1">
        <v>10</v>
      </c>
      <c r="I108" s="1">
        <v>3</v>
      </c>
      <c r="J108" s="1">
        <v>5</v>
      </c>
      <c r="K108" s="1">
        <v>10</v>
      </c>
      <c r="L108" s="1">
        <v>1</v>
      </c>
      <c r="M108" s="1">
        <v>40</v>
      </c>
      <c r="N108" s="1">
        <f t="shared" si="2"/>
        <v>89</v>
      </c>
      <c r="O108" s="6" t="str">
        <f t="shared" si="3"/>
        <v>B</v>
      </c>
    </row>
    <row r="109" spans="2:15" s="5" customFormat="1" ht="21" customHeight="1">
      <c r="B109" s="2">
        <v>104</v>
      </c>
      <c r="C109" s="39" t="s">
        <v>235</v>
      </c>
      <c r="D109" s="39" t="s">
        <v>236</v>
      </c>
      <c r="E109" s="39" t="s">
        <v>234</v>
      </c>
      <c r="F109" s="1">
        <v>15</v>
      </c>
      <c r="G109" s="1">
        <v>5</v>
      </c>
      <c r="H109" s="1">
        <v>1</v>
      </c>
      <c r="I109" s="1">
        <v>1</v>
      </c>
      <c r="J109" s="1">
        <v>5</v>
      </c>
      <c r="K109" s="1">
        <v>10</v>
      </c>
      <c r="L109" s="1">
        <v>1</v>
      </c>
      <c r="M109" s="1">
        <v>100</v>
      </c>
      <c r="N109" s="1">
        <f t="shared" si="2"/>
        <v>138</v>
      </c>
      <c r="O109" s="6" t="str">
        <f t="shared" si="3"/>
        <v>A</v>
      </c>
    </row>
    <row r="110" spans="2:15" s="5" customFormat="1" ht="21" customHeight="1">
      <c r="B110" s="2">
        <v>105</v>
      </c>
      <c r="C110" s="39" t="s">
        <v>237</v>
      </c>
      <c r="D110" s="39" t="s">
        <v>238</v>
      </c>
      <c r="E110" s="39" t="s">
        <v>239</v>
      </c>
      <c r="F110" s="1">
        <v>15</v>
      </c>
      <c r="G110" s="1">
        <v>5</v>
      </c>
      <c r="H110" s="1">
        <v>10</v>
      </c>
      <c r="I110" s="1">
        <v>3</v>
      </c>
      <c r="J110" s="1">
        <v>5</v>
      </c>
      <c r="K110" s="1">
        <v>10</v>
      </c>
      <c r="L110" s="1">
        <v>1</v>
      </c>
      <c r="M110" s="1">
        <v>40</v>
      </c>
      <c r="N110" s="1">
        <f t="shared" si="2"/>
        <v>89</v>
      </c>
      <c r="O110" s="6" t="str">
        <f t="shared" si="3"/>
        <v>B</v>
      </c>
    </row>
    <row r="111" spans="2:15" s="5" customFormat="1" ht="21" customHeight="1">
      <c r="B111" s="2">
        <v>106</v>
      </c>
      <c r="C111" s="39" t="s">
        <v>240</v>
      </c>
      <c r="D111" s="39" t="s">
        <v>241</v>
      </c>
      <c r="E111" s="39" t="s">
        <v>239</v>
      </c>
      <c r="F111" s="1">
        <v>15</v>
      </c>
      <c r="G111" s="1">
        <v>5</v>
      </c>
      <c r="H111" s="1">
        <v>10</v>
      </c>
      <c r="I111" s="1">
        <v>3</v>
      </c>
      <c r="J111" s="1">
        <v>5</v>
      </c>
      <c r="K111" s="1">
        <v>10</v>
      </c>
      <c r="L111" s="1">
        <v>1</v>
      </c>
      <c r="M111" s="1">
        <v>40</v>
      </c>
      <c r="N111" s="1">
        <f t="shared" si="2"/>
        <v>89</v>
      </c>
      <c r="O111" s="6" t="str">
        <f t="shared" si="3"/>
        <v>B</v>
      </c>
    </row>
    <row r="112" spans="2:15" s="5" customFormat="1" ht="21" customHeight="1">
      <c r="B112" s="2">
        <v>107</v>
      </c>
      <c r="C112" s="39" t="s">
        <v>242</v>
      </c>
      <c r="D112" s="39" t="s">
        <v>243</v>
      </c>
      <c r="E112" s="39" t="s">
        <v>234</v>
      </c>
      <c r="F112" s="1">
        <v>5</v>
      </c>
      <c r="G112" s="1">
        <v>3</v>
      </c>
      <c r="H112" s="1">
        <v>5</v>
      </c>
      <c r="I112" s="1">
        <v>3</v>
      </c>
      <c r="J112" s="1">
        <v>1</v>
      </c>
      <c r="K112" s="1">
        <v>1</v>
      </c>
      <c r="L112" s="1">
        <v>1</v>
      </c>
      <c r="M112" s="1">
        <v>20</v>
      </c>
      <c r="N112" s="1">
        <f t="shared" si="2"/>
        <v>39</v>
      </c>
      <c r="O112" s="6" t="str">
        <f t="shared" si="3"/>
        <v>C</v>
      </c>
    </row>
    <row r="113" spans="2:15" s="5" customFormat="1" ht="21" customHeight="1">
      <c r="B113" s="2">
        <v>108</v>
      </c>
      <c r="C113" s="39" t="s">
        <v>244</v>
      </c>
      <c r="D113" s="39" t="s">
        <v>245</v>
      </c>
      <c r="E113" s="39" t="s">
        <v>234</v>
      </c>
      <c r="F113" s="1">
        <v>5</v>
      </c>
      <c r="G113" s="1">
        <v>3</v>
      </c>
      <c r="H113" s="1">
        <v>5</v>
      </c>
      <c r="I113" s="1">
        <v>3</v>
      </c>
      <c r="J113" s="1">
        <v>1</v>
      </c>
      <c r="K113" s="1">
        <v>1</v>
      </c>
      <c r="L113" s="1">
        <v>1</v>
      </c>
      <c r="M113" s="1">
        <v>20</v>
      </c>
      <c r="N113" s="1">
        <f t="shared" si="2"/>
        <v>39</v>
      </c>
      <c r="O113" s="6" t="str">
        <f t="shared" si="3"/>
        <v>C</v>
      </c>
    </row>
    <row r="114" spans="2:15" s="5" customFormat="1" ht="21" customHeight="1">
      <c r="B114" s="2">
        <v>109</v>
      </c>
      <c r="C114" s="39" t="s">
        <v>246</v>
      </c>
      <c r="D114" s="39" t="s">
        <v>247</v>
      </c>
      <c r="E114" s="39" t="s">
        <v>234</v>
      </c>
      <c r="F114" s="1">
        <v>15</v>
      </c>
      <c r="G114" s="1">
        <v>3</v>
      </c>
      <c r="H114" s="1">
        <v>10</v>
      </c>
      <c r="I114" s="1">
        <v>5</v>
      </c>
      <c r="J114" s="1">
        <v>5</v>
      </c>
      <c r="K114" s="1">
        <v>10</v>
      </c>
      <c r="L114" s="1">
        <v>1</v>
      </c>
      <c r="M114" s="1">
        <v>100</v>
      </c>
      <c r="N114" s="1">
        <f t="shared" si="2"/>
        <v>149</v>
      </c>
      <c r="O114" s="6" t="str">
        <f t="shared" si="3"/>
        <v>A</v>
      </c>
    </row>
    <row r="115" spans="2:15" s="5" customFormat="1" ht="21" customHeight="1">
      <c r="B115" s="2">
        <v>110</v>
      </c>
      <c r="C115" s="39" t="s">
        <v>248</v>
      </c>
      <c r="D115" s="39" t="s">
        <v>249</v>
      </c>
      <c r="E115" s="39" t="s">
        <v>234</v>
      </c>
      <c r="F115" s="1">
        <v>15</v>
      </c>
      <c r="G115" s="1">
        <v>3</v>
      </c>
      <c r="H115" s="1">
        <v>5</v>
      </c>
      <c r="I115" s="1">
        <v>1</v>
      </c>
      <c r="J115" s="1">
        <v>1</v>
      </c>
      <c r="K115" s="1">
        <v>5</v>
      </c>
      <c r="L115" s="1">
        <v>1</v>
      </c>
      <c r="M115" s="1">
        <v>20</v>
      </c>
      <c r="N115" s="1">
        <f t="shared" si="2"/>
        <v>51</v>
      </c>
      <c r="O115" s="6" t="str">
        <f t="shared" si="3"/>
        <v>B</v>
      </c>
    </row>
    <row r="116" spans="2:15" s="5" customFormat="1" ht="21" customHeight="1">
      <c r="B116" s="2">
        <v>111</v>
      </c>
      <c r="C116" s="39" t="s">
        <v>250</v>
      </c>
      <c r="D116" s="39" t="s">
        <v>251</v>
      </c>
      <c r="E116" s="39" t="s">
        <v>234</v>
      </c>
      <c r="F116" s="1">
        <v>15</v>
      </c>
      <c r="G116" s="1">
        <v>3</v>
      </c>
      <c r="H116" s="1">
        <v>5</v>
      </c>
      <c r="I116" s="1">
        <v>1</v>
      </c>
      <c r="J116" s="1">
        <v>1</v>
      </c>
      <c r="K116" s="1">
        <v>5</v>
      </c>
      <c r="L116" s="1">
        <v>1</v>
      </c>
      <c r="M116" s="1">
        <v>20</v>
      </c>
      <c r="N116" s="1">
        <f t="shared" si="2"/>
        <v>51</v>
      </c>
      <c r="O116" s="6" t="str">
        <f t="shared" si="3"/>
        <v>B</v>
      </c>
    </row>
    <row r="117" spans="2:15" s="5" customFormat="1" ht="21" customHeight="1">
      <c r="B117" s="2">
        <v>112</v>
      </c>
      <c r="C117" s="39" t="s">
        <v>252</v>
      </c>
      <c r="D117" s="39" t="s">
        <v>253</v>
      </c>
      <c r="E117" s="39" t="s">
        <v>254</v>
      </c>
      <c r="F117" s="1">
        <v>35</v>
      </c>
      <c r="G117" s="1">
        <v>5</v>
      </c>
      <c r="H117" s="1">
        <v>10</v>
      </c>
      <c r="I117" s="1">
        <v>5</v>
      </c>
      <c r="J117" s="1">
        <v>5</v>
      </c>
      <c r="K117" s="1">
        <v>10</v>
      </c>
      <c r="L117" s="1">
        <v>35</v>
      </c>
      <c r="M117" s="1">
        <v>100</v>
      </c>
      <c r="N117" s="1">
        <f t="shared" si="2"/>
        <v>205</v>
      </c>
      <c r="O117" s="6" t="str">
        <f t="shared" si="3"/>
        <v>AA</v>
      </c>
    </row>
    <row r="118" spans="2:15" s="5" customFormat="1" ht="21" customHeight="1">
      <c r="B118" s="2">
        <v>113</v>
      </c>
      <c r="C118" s="39" t="s">
        <v>255</v>
      </c>
      <c r="D118" s="39" t="s">
        <v>256</v>
      </c>
      <c r="E118" s="39" t="s">
        <v>254</v>
      </c>
      <c r="F118" s="1">
        <v>35</v>
      </c>
      <c r="G118" s="1">
        <v>5</v>
      </c>
      <c r="H118" s="1">
        <v>10</v>
      </c>
      <c r="I118" s="1">
        <v>5</v>
      </c>
      <c r="J118" s="1">
        <v>5</v>
      </c>
      <c r="K118" s="1">
        <v>10</v>
      </c>
      <c r="L118" s="1">
        <v>35</v>
      </c>
      <c r="M118" s="1">
        <v>100</v>
      </c>
      <c r="N118" s="1">
        <f t="shared" si="2"/>
        <v>205</v>
      </c>
      <c r="O118" s="6" t="str">
        <f t="shared" si="3"/>
        <v>AA</v>
      </c>
    </row>
    <row r="119" spans="2:15" s="5" customFormat="1" ht="21" customHeight="1">
      <c r="B119" s="2">
        <v>114</v>
      </c>
      <c r="C119" s="39" t="s">
        <v>257</v>
      </c>
      <c r="D119" s="39" t="s">
        <v>258</v>
      </c>
      <c r="E119" s="39" t="s">
        <v>234</v>
      </c>
      <c r="F119" s="1">
        <v>35</v>
      </c>
      <c r="G119" s="1">
        <v>5</v>
      </c>
      <c r="H119" s="1">
        <v>10</v>
      </c>
      <c r="I119" s="1">
        <v>5</v>
      </c>
      <c r="J119" s="1">
        <v>5</v>
      </c>
      <c r="K119" s="1">
        <v>10</v>
      </c>
      <c r="L119" s="1">
        <v>35</v>
      </c>
      <c r="M119" s="1">
        <v>100</v>
      </c>
      <c r="N119" s="1">
        <f t="shared" si="2"/>
        <v>205</v>
      </c>
      <c r="O119" s="6" t="str">
        <f t="shared" si="3"/>
        <v>AA</v>
      </c>
    </row>
    <row r="120" spans="2:15" s="5" customFormat="1" ht="21" customHeight="1">
      <c r="B120" s="2">
        <v>115</v>
      </c>
      <c r="C120" s="39" t="s">
        <v>259</v>
      </c>
      <c r="D120" s="39" t="s">
        <v>260</v>
      </c>
      <c r="E120" s="39" t="s">
        <v>234</v>
      </c>
      <c r="F120" s="1">
        <v>35</v>
      </c>
      <c r="G120" s="1">
        <v>5</v>
      </c>
      <c r="H120" s="1">
        <v>10</v>
      </c>
      <c r="I120" s="1">
        <v>5</v>
      </c>
      <c r="J120" s="1">
        <v>5</v>
      </c>
      <c r="K120" s="1">
        <v>10</v>
      </c>
      <c r="L120" s="1">
        <v>35</v>
      </c>
      <c r="M120" s="1">
        <v>100</v>
      </c>
      <c r="N120" s="1">
        <f t="shared" si="2"/>
        <v>205</v>
      </c>
      <c r="O120" s="6" t="str">
        <f t="shared" si="3"/>
        <v>AA</v>
      </c>
    </row>
    <row r="121" spans="2:15" s="5" customFormat="1" ht="21" customHeight="1">
      <c r="B121" s="2">
        <v>116</v>
      </c>
      <c r="C121" s="39" t="s">
        <v>261</v>
      </c>
      <c r="D121" s="39" t="s">
        <v>262</v>
      </c>
      <c r="E121" s="39" t="s">
        <v>234</v>
      </c>
      <c r="F121" s="1">
        <v>5</v>
      </c>
      <c r="G121" s="1">
        <v>1</v>
      </c>
      <c r="H121" s="1">
        <v>5</v>
      </c>
      <c r="I121" s="1">
        <v>3</v>
      </c>
      <c r="J121" s="1">
        <v>5</v>
      </c>
      <c r="K121" s="1">
        <v>10</v>
      </c>
      <c r="L121" s="1">
        <v>1</v>
      </c>
      <c r="M121" s="1">
        <v>20</v>
      </c>
      <c r="N121" s="1">
        <f t="shared" si="2"/>
        <v>50</v>
      </c>
      <c r="O121" s="6" t="str">
        <f t="shared" si="3"/>
        <v>B</v>
      </c>
    </row>
    <row r="122" spans="2:15" s="5" customFormat="1" ht="21" customHeight="1">
      <c r="B122" s="2">
        <v>117</v>
      </c>
      <c r="C122" s="39" t="s">
        <v>263</v>
      </c>
      <c r="D122" s="39" t="s">
        <v>264</v>
      </c>
      <c r="E122" s="39" t="s">
        <v>234</v>
      </c>
      <c r="F122" s="1">
        <v>5</v>
      </c>
      <c r="G122" s="1">
        <v>1</v>
      </c>
      <c r="H122" s="1">
        <v>5</v>
      </c>
      <c r="I122" s="1">
        <v>3</v>
      </c>
      <c r="J122" s="1">
        <v>5</v>
      </c>
      <c r="K122" s="1">
        <v>10</v>
      </c>
      <c r="L122" s="1">
        <v>1</v>
      </c>
      <c r="M122" s="1">
        <v>20</v>
      </c>
      <c r="N122" s="1">
        <f t="shared" si="2"/>
        <v>50</v>
      </c>
      <c r="O122" s="6" t="str">
        <f t="shared" si="3"/>
        <v>B</v>
      </c>
    </row>
    <row r="123" spans="2:15" s="5" customFormat="1" ht="21" customHeight="1">
      <c r="B123" s="2">
        <v>118</v>
      </c>
      <c r="C123" s="39" t="s">
        <v>265</v>
      </c>
      <c r="D123" s="39" t="s">
        <v>266</v>
      </c>
      <c r="E123" s="39" t="s">
        <v>18</v>
      </c>
      <c r="F123" s="1">
        <v>5</v>
      </c>
      <c r="G123" s="1">
        <v>3</v>
      </c>
      <c r="H123" s="1">
        <v>1</v>
      </c>
      <c r="I123" s="1">
        <v>5</v>
      </c>
      <c r="J123" s="1">
        <v>1</v>
      </c>
      <c r="K123" s="1">
        <v>1</v>
      </c>
      <c r="L123" s="1">
        <v>1</v>
      </c>
      <c r="M123" s="1">
        <v>100</v>
      </c>
      <c r="N123" s="1">
        <f t="shared" si="2"/>
        <v>117</v>
      </c>
      <c r="O123" s="6" t="str">
        <f t="shared" si="3"/>
        <v>A</v>
      </c>
    </row>
    <row r="124" spans="2:15" s="5" customFormat="1" ht="21" customHeight="1">
      <c r="B124" s="2">
        <v>119</v>
      </c>
      <c r="C124" s="39" t="s">
        <v>267</v>
      </c>
      <c r="D124" s="39" t="s">
        <v>268</v>
      </c>
      <c r="E124" s="39" t="s">
        <v>18</v>
      </c>
      <c r="F124" s="1">
        <v>5</v>
      </c>
      <c r="G124" s="1">
        <v>3</v>
      </c>
      <c r="H124" s="1">
        <v>1</v>
      </c>
      <c r="I124" s="1">
        <v>5</v>
      </c>
      <c r="J124" s="1">
        <v>1</v>
      </c>
      <c r="K124" s="1">
        <v>1</v>
      </c>
      <c r="L124" s="1">
        <v>1</v>
      </c>
      <c r="M124" s="1">
        <v>100</v>
      </c>
      <c r="N124" s="1">
        <f t="shared" si="2"/>
        <v>117</v>
      </c>
      <c r="O124" s="6" t="str">
        <f t="shared" si="3"/>
        <v>A</v>
      </c>
    </row>
    <row r="125" spans="2:15" s="5" customFormat="1" ht="21" customHeight="1">
      <c r="B125" s="2">
        <v>120</v>
      </c>
      <c r="C125" s="39" t="s">
        <v>269</v>
      </c>
      <c r="D125" s="39" t="s">
        <v>270</v>
      </c>
      <c r="E125" s="39" t="s">
        <v>18</v>
      </c>
      <c r="F125" s="1">
        <v>5</v>
      </c>
      <c r="G125" s="1">
        <v>3</v>
      </c>
      <c r="H125" s="1">
        <v>1</v>
      </c>
      <c r="I125" s="1">
        <v>5</v>
      </c>
      <c r="J125" s="1">
        <v>1</v>
      </c>
      <c r="K125" s="1">
        <v>1</v>
      </c>
      <c r="L125" s="1">
        <v>1</v>
      </c>
      <c r="M125" s="1">
        <v>100</v>
      </c>
      <c r="N125" s="1">
        <f t="shared" si="2"/>
        <v>117</v>
      </c>
      <c r="O125" s="6" t="str">
        <f t="shared" si="3"/>
        <v>A</v>
      </c>
    </row>
    <row r="126" spans="2:15" s="5" customFormat="1" ht="21" customHeight="1">
      <c r="B126" s="2">
        <v>121</v>
      </c>
      <c r="C126" s="39" t="s">
        <v>271</v>
      </c>
      <c r="D126" s="39" t="s">
        <v>272</v>
      </c>
      <c r="E126" s="39" t="s">
        <v>18</v>
      </c>
      <c r="F126" s="1">
        <v>5</v>
      </c>
      <c r="G126" s="1">
        <v>3</v>
      </c>
      <c r="H126" s="1">
        <v>1</v>
      </c>
      <c r="I126" s="1">
        <v>5</v>
      </c>
      <c r="J126" s="1">
        <v>1</v>
      </c>
      <c r="K126" s="1">
        <v>1</v>
      </c>
      <c r="L126" s="1">
        <v>1</v>
      </c>
      <c r="M126" s="1">
        <v>60</v>
      </c>
      <c r="N126" s="1">
        <f t="shared" si="2"/>
        <v>77</v>
      </c>
      <c r="O126" s="6" t="str">
        <f t="shared" si="3"/>
        <v>B</v>
      </c>
    </row>
    <row r="127" spans="2:15" s="5" customFormat="1" ht="21" customHeight="1">
      <c r="B127" s="2">
        <v>122</v>
      </c>
      <c r="C127" s="39" t="s">
        <v>273</v>
      </c>
      <c r="D127" s="39" t="s">
        <v>274</v>
      </c>
      <c r="E127" s="39" t="s">
        <v>18</v>
      </c>
      <c r="F127" s="1">
        <v>5</v>
      </c>
      <c r="G127" s="1">
        <v>3</v>
      </c>
      <c r="H127" s="1">
        <v>1</v>
      </c>
      <c r="I127" s="1">
        <v>5</v>
      </c>
      <c r="J127" s="1">
        <v>1</v>
      </c>
      <c r="K127" s="1">
        <v>1</v>
      </c>
      <c r="L127" s="1">
        <v>1</v>
      </c>
      <c r="M127" s="1">
        <v>60</v>
      </c>
      <c r="N127" s="1">
        <f t="shared" si="2"/>
        <v>77</v>
      </c>
      <c r="O127" s="6" t="str">
        <f t="shared" si="3"/>
        <v>B</v>
      </c>
    </row>
    <row r="128" spans="2:15" s="5" customFormat="1" ht="21" customHeight="1">
      <c r="B128" s="2">
        <v>123</v>
      </c>
      <c r="C128" s="39" t="s">
        <v>275</v>
      </c>
      <c r="D128" s="39" t="s">
        <v>276</v>
      </c>
      <c r="E128" s="39" t="s">
        <v>18</v>
      </c>
      <c r="F128" s="1">
        <v>5</v>
      </c>
      <c r="G128" s="1">
        <v>3</v>
      </c>
      <c r="H128" s="1">
        <v>1</v>
      </c>
      <c r="I128" s="1">
        <v>5</v>
      </c>
      <c r="J128" s="1">
        <v>1</v>
      </c>
      <c r="K128" s="1">
        <v>1</v>
      </c>
      <c r="L128" s="1">
        <v>1</v>
      </c>
      <c r="M128" s="1">
        <v>60</v>
      </c>
      <c r="N128" s="1">
        <f t="shared" si="2"/>
        <v>77</v>
      </c>
      <c r="O128" s="6" t="str">
        <f t="shared" si="3"/>
        <v>B</v>
      </c>
    </row>
    <row r="129" spans="2:15" s="5" customFormat="1" ht="21" customHeight="1">
      <c r="B129" s="2">
        <v>124</v>
      </c>
      <c r="C129" s="39" t="s">
        <v>277</v>
      </c>
      <c r="D129" s="39" t="s">
        <v>278</v>
      </c>
      <c r="E129" s="39" t="s">
        <v>18</v>
      </c>
      <c r="F129" s="1">
        <v>5</v>
      </c>
      <c r="G129" s="1">
        <v>3</v>
      </c>
      <c r="H129" s="1">
        <v>1</v>
      </c>
      <c r="I129" s="1">
        <v>5</v>
      </c>
      <c r="J129" s="1">
        <v>1</v>
      </c>
      <c r="K129" s="1">
        <v>1</v>
      </c>
      <c r="L129" s="1">
        <v>1</v>
      </c>
      <c r="M129" s="1">
        <v>60</v>
      </c>
      <c r="N129" s="1">
        <f t="shared" si="2"/>
        <v>77</v>
      </c>
      <c r="O129" s="6" t="str">
        <f t="shared" si="3"/>
        <v>B</v>
      </c>
    </row>
    <row r="130" spans="2:15" s="5" customFormat="1" ht="21" customHeight="1">
      <c r="B130" s="2">
        <v>125</v>
      </c>
      <c r="C130" s="39" t="s">
        <v>279</v>
      </c>
      <c r="D130" s="39" t="s">
        <v>280</v>
      </c>
      <c r="E130" s="39" t="s">
        <v>18</v>
      </c>
      <c r="F130" s="1">
        <v>5</v>
      </c>
      <c r="G130" s="1">
        <v>3</v>
      </c>
      <c r="H130" s="1">
        <v>1</v>
      </c>
      <c r="I130" s="1">
        <v>5</v>
      </c>
      <c r="J130" s="1">
        <v>1</v>
      </c>
      <c r="K130" s="1">
        <v>1</v>
      </c>
      <c r="L130" s="1">
        <v>1</v>
      </c>
      <c r="M130" s="1">
        <v>80</v>
      </c>
      <c r="N130" s="1">
        <f t="shared" si="2"/>
        <v>97</v>
      </c>
      <c r="O130" s="6" t="str">
        <f t="shared" si="3"/>
        <v>B</v>
      </c>
    </row>
    <row r="131" spans="2:15" s="5" customFormat="1" ht="21" customHeight="1">
      <c r="B131" s="2">
        <v>126</v>
      </c>
      <c r="C131" s="39" t="s">
        <v>281</v>
      </c>
      <c r="D131" s="39" t="s">
        <v>282</v>
      </c>
      <c r="E131" s="39" t="s">
        <v>18</v>
      </c>
      <c r="F131" s="1">
        <v>5</v>
      </c>
      <c r="G131" s="1">
        <v>3</v>
      </c>
      <c r="H131" s="1">
        <v>1</v>
      </c>
      <c r="I131" s="1">
        <v>5</v>
      </c>
      <c r="J131" s="1">
        <v>1</v>
      </c>
      <c r="K131" s="1">
        <v>1</v>
      </c>
      <c r="L131" s="1">
        <v>1</v>
      </c>
      <c r="M131" s="1">
        <v>100</v>
      </c>
      <c r="N131" s="1">
        <f t="shared" si="2"/>
        <v>117</v>
      </c>
      <c r="O131" s="6" t="str">
        <f t="shared" si="3"/>
        <v>A</v>
      </c>
    </row>
    <row r="132" spans="2:15" s="5" customFormat="1" ht="21" customHeight="1">
      <c r="B132" s="2">
        <v>127</v>
      </c>
      <c r="C132" s="39" t="s">
        <v>283</v>
      </c>
      <c r="D132" s="39" t="s">
        <v>284</v>
      </c>
      <c r="E132" s="39" t="s">
        <v>18</v>
      </c>
      <c r="F132" s="1">
        <v>5</v>
      </c>
      <c r="G132" s="1">
        <v>3</v>
      </c>
      <c r="H132" s="1">
        <v>1</v>
      </c>
      <c r="I132" s="1">
        <v>5</v>
      </c>
      <c r="J132" s="1">
        <v>1</v>
      </c>
      <c r="K132" s="1">
        <v>1</v>
      </c>
      <c r="L132" s="1">
        <v>1</v>
      </c>
      <c r="M132" s="1">
        <v>100</v>
      </c>
      <c r="N132" s="1">
        <f t="shared" si="2"/>
        <v>117</v>
      </c>
      <c r="O132" s="6" t="str">
        <f t="shared" si="3"/>
        <v>A</v>
      </c>
    </row>
    <row r="133" spans="2:15" s="5" customFormat="1" ht="21" customHeight="1">
      <c r="B133" s="2">
        <v>128</v>
      </c>
      <c r="C133" s="39" t="s">
        <v>285</v>
      </c>
      <c r="D133" s="39" t="s">
        <v>286</v>
      </c>
      <c r="E133" s="39" t="s">
        <v>18</v>
      </c>
      <c r="F133" s="1">
        <v>5</v>
      </c>
      <c r="G133" s="1">
        <v>3</v>
      </c>
      <c r="H133" s="1">
        <v>1</v>
      </c>
      <c r="I133" s="1">
        <v>5</v>
      </c>
      <c r="J133" s="1">
        <v>1</v>
      </c>
      <c r="K133" s="1">
        <v>1</v>
      </c>
      <c r="L133" s="1">
        <v>1</v>
      </c>
      <c r="M133" s="1">
        <v>100</v>
      </c>
      <c r="N133" s="1">
        <f t="shared" si="2"/>
        <v>117</v>
      </c>
      <c r="O133" s="6" t="str">
        <f t="shared" si="3"/>
        <v>A</v>
      </c>
    </row>
    <row r="134" spans="2:15" s="5" customFormat="1" ht="21" customHeight="1">
      <c r="B134" s="2">
        <v>129</v>
      </c>
      <c r="C134" s="39" t="s">
        <v>287</v>
      </c>
      <c r="D134" s="39" t="s">
        <v>288</v>
      </c>
      <c r="E134" s="39" t="s">
        <v>18</v>
      </c>
      <c r="F134" s="1">
        <v>5</v>
      </c>
      <c r="G134" s="1">
        <v>3</v>
      </c>
      <c r="H134" s="1">
        <v>1</v>
      </c>
      <c r="I134" s="1">
        <v>5</v>
      </c>
      <c r="J134" s="1">
        <v>1</v>
      </c>
      <c r="K134" s="1">
        <v>1</v>
      </c>
      <c r="L134" s="1">
        <v>1</v>
      </c>
      <c r="M134" s="1">
        <v>100</v>
      </c>
      <c r="N134" s="1">
        <f t="shared" ref="N134:N197" si="4">SUBTOTAL(9,F134:M134)</f>
        <v>117</v>
      </c>
      <c r="O134" s="6" t="str">
        <f t="shared" si="3"/>
        <v>A</v>
      </c>
    </row>
    <row r="135" spans="2:15" s="5" customFormat="1" ht="21" customHeight="1">
      <c r="B135" s="2">
        <v>130</v>
      </c>
      <c r="C135" s="39" t="s">
        <v>289</v>
      </c>
      <c r="D135" s="39" t="s">
        <v>290</v>
      </c>
      <c r="E135" s="39" t="s">
        <v>18</v>
      </c>
      <c r="F135" s="1">
        <v>5</v>
      </c>
      <c r="G135" s="1">
        <v>3</v>
      </c>
      <c r="H135" s="1">
        <v>1</v>
      </c>
      <c r="I135" s="1">
        <v>5</v>
      </c>
      <c r="J135" s="1">
        <v>1</v>
      </c>
      <c r="K135" s="1">
        <v>1</v>
      </c>
      <c r="L135" s="1">
        <v>1</v>
      </c>
      <c r="M135" s="1">
        <v>100</v>
      </c>
      <c r="N135" s="1">
        <f t="shared" si="4"/>
        <v>117</v>
      </c>
      <c r="O135" s="6" t="str">
        <f t="shared" ref="O135:O198" si="5">IF(N135=0,0,IF(AND(N135&gt;=150,N135&lt;=205),"AA",IF(AND(N135&gt;=100,N135&lt;=149),"A",IF(AND(N135&gt;=40,N135&lt;=99),"B",IF(N135&lt;=41,"C","Erro")))))</f>
        <v>A</v>
      </c>
    </row>
    <row r="136" spans="2:15" s="5" customFormat="1" ht="21" customHeight="1">
      <c r="B136" s="2">
        <v>131</v>
      </c>
      <c r="C136" s="39" t="s">
        <v>291</v>
      </c>
      <c r="D136" s="39" t="s">
        <v>292</v>
      </c>
      <c r="E136" s="39" t="s">
        <v>18</v>
      </c>
      <c r="F136" s="1">
        <v>5</v>
      </c>
      <c r="G136" s="1">
        <v>3</v>
      </c>
      <c r="H136" s="1">
        <v>1</v>
      </c>
      <c r="I136" s="1">
        <v>5</v>
      </c>
      <c r="J136" s="1">
        <v>1</v>
      </c>
      <c r="K136" s="1">
        <v>1</v>
      </c>
      <c r="L136" s="1">
        <v>1</v>
      </c>
      <c r="M136" s="1">
        <v>100</v>
      </c>
      <c r="N136" s="1">
        <f t="shared" si="4"/>
        <v>117</v>
      </c>
      <c r="O136" s="6" t="str">
        <f t="shared" si="5"/>
        <v>A</v>
      </c>
    </row>
    <row r="137" spans="2:15" s="5" customFormat="1" ht="21" customHeight="1">
      <c r="B137" s="2">
        <v>132</v>
      </c>
      <c r="C137" s="39" t="s">
        <v>293</v>
      </c>
      <c r="D137" s="39" t="s">
        <v>294</v>
      </c>
      <c r="E137" s="39" t="s">
        <v>18</v>
      </c>
      <c r="F137" s="1">
        <v>5</v>
      </c>
      <c r="G137" s="1">
        <v>3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20</v>
      </c>
      <c r="N137" s="1">
        <f t="shared" si="4"/>
        <v>33</v>
      </c>
      <c r="O137" s="6" t="str">
        <f t="shared" si="5"/>
        <v>C</v>
      </c>
    </row>
    <row r="138" spans="2:15" s="5" customFormat="1" ht="21" customHeight="1">
      <c r="B138" s="2">
        <v>133</v>
      </c>
      <c r="C138" s="39" t="s">
        <v>295</v>
      </c>
      <c r="D138" s="39" t="s">
        <v>296</v>
      </c>
      <c r="E138" s="39" t="s">
        <v>18</v>
      </c>
      <c r="F138" s="1">
        <v>5</v>
      </c>
      <c r="G138" s="1">
        <v>3</v>
      </c>
      <c r="H138" s="1">
        <v>1</v>
      </c>
      <c r="I138" s="1">
        <v>5</v>
      </c>
      <c r="J138" s="1">
        <v>1</v>
      </c>
      <c r="K138" s="1">
        <v>1</v>
      </c>
      <c r="L138" s="1">
        <v>1</v>
      </c>
      <c r="M138" s="1">
        <v>60</v>
      </c>
      <c r="N138" s="1">
        <f t="shared" si="4"/>
        <v>77</v>
      </c>
      <c r="O138" s="6" t="str">
        <f t="shared" si="5"/>
        <v>B</v>
      </c>
    </row>
    <row r="139" spans="2:15" s="5" customFormat="1" ht="21" customHeight="1">
      <c r="B139" s="2">
        <v>134</v>
      </c>
      <c r="C139" s="39" t="s">
        <v>297</v>
      </c>
      <c r="D139" s="39" t="s">
        <v>298</v>
      </c>
      <c r="E139" s="39" t="s">
        <v>18</v>
      </c>
      <c r="F139" s="1">
        <v>5</v>
      </c>
      <c r="G139" s="1">
        <v>3</v>
      </c>
      <c r="H139" s="1">
        <v>1</v>
      </c>
      <c r="I139" s="1">
        <v>5</v>
      </c>
      <c r="J139" s="1">
        <v>1</v>
      </c>
      <c r="K139" s="1">
        <v>1</v>
      </c>
      <c r="L139" s="1">
        <v>1</v>
      </c>
      <c r="M139" s="1">
        <v>40</v>
      </c>
      <c r="N139" s="1">
        <f t="shared" si="4"/>
        <v>57</v>
      </c>
      <c r="O139" s="6" t="str">
        <f t="shared" si="5"/>
        <v>B</v>
      </c>
    </row>
    <row r="140" spans="2:15" s="5" customFormat="1" ht="21" customHeight="1">
      <c r="B140" s="2">
        <v>135</v>
      </c>
      <c r="C140" s="39" t="s">
        <v>299</v>
      </c>
      <c r="D140" s="39" t="s">
        <v>300</v>
      </c>
      <c r="E140" s="39" t="s">
        <v>301</v>
      </c>
      <c r="F140" s="1">
        <v>5</v>
      </c>
      <c r="G140" s="1">
        <v>3</v>
      </c>
      <c r="H140" s="1">
        <v>5</v>
      </c>
      <c r="I140" s="1">
        <v>3</v>
      </c>
      <c r="J140" s="1">
        <v>1</v>
      </c>
      <c r="K140" s="1">
        <v>1</v>
      </c>
      <c r="L140" s="1">
        <v>5</v>
      </c>
      <c r="M140" s="1">
        <v>40</v>
      </c>
      <c r="N140" s="1">
        <f t="shared" si="4"/>
        <v>63</v>
      </c>
      <c r="O140" s="6" t="str">
        <f t="shared" si="5"/>
        <v>B</v>
      </c>
    </row>
    <row r="141" spans="2:15" s="5" customFormat="1" ht="21" customHeight="1">
      <c r="B141" s="2">
        <v>136</v>
      </c>
      <c r="C141" s="39" t="s">
        <v>302</v>
      </c>
      <c r="D141" s="39" t="s">
        <v>303</v>
      </c>
      <c r="E141" s="39" t="s">
        <v>304</v>
      </c>
      <c r="F141" s="1">
        <v>5</v>
      </c>
      <c r="G141" s="1">
        <v>3</v>
      </c>
      <c r="H141" s="1">
        <v>5</v>
      </c>
      <c r="I141" s="1">
        <v>3</v>
      </c>
      <c r="J141" s="1">
        <v>1</v>
      </c>
      <c r="K141" s="1">
        <v>1</v>
      </c>
      <c r="L141" s="1">
        <v>5</v>
      </c>
      <c r="M141" s="1">
        <v>40</v>
      </c>
      <c r="N141" s="1">
        <f t="shared" si="4"/>
        <v>63</v>
      </c>
      <c r="O141" s="6" t="str">
        <f t="shared" si="5"/>
        <v>B</v>
      </c>
    </row>
    <row r="142" spans="2:15" s="5" customFormat="1" ht="21" customHeight="1">
      <c r="B142" s="2">
        <v>137</v>
      </c>
      <c r="C142" s="39" t="s">
        <v>305</v>
      </c>
      <c r="D142" s="39" t="s">
        <v>306</v>
      </c>
      <c r="E142" s="39" t="s">
        <v>301</v>
      </c>
      <c r="F142" s="1">
        <v>5</v>
      </c>
      <c r="G142" s="1">
        <v>3</v>
      </c>
      <c r="H142" s="1">
        <v>5</v>
      </c>
      <c r="I142" s="1">
        <v>3</v>
      </c>
      <c r="J142" s="1">
        <v>1</v>
      </c>
      <c r="K142" s="1">
        <v>1</v>
      </c>
      <c r="L142" s="1">
        <v>5</v>
      </c>
      <c r="M142" s="1">
        <v>40</v>
      </c>
      <c r="N142" s="1">
        <f t="shared" si="4"/>
        <v>63</v>
      </c>
      <c r="O142" s="6" t="str">
        <f t="shared" si="5"/>
        <v>B</v>
      </c>
    </row>
    <row r="143" spans="2:15" s="5" customFormat="1" ht="21" customHeight="1">
      <c r="B143" s="2">
        <v>138</v>
      </c>
      <c r="C143" s="39" t="s">
        <v>307</v>
      </c>
      <c r="D143" s="39" t="s">
        <v>308</v>
      </c>
      <c r="E143" s="39" t="s">
        <v>309</v>
      </c>
      <c r="F143" s="1">
        <v>5</v>
      </c>
      <c r="G143" s="1">
        <v>3</v>
      </c>
      <c r="H143" s="1">
        <v>5</v>
      </c>
      <c r="I143" s="1">
        <v>3</v>
      </c>
      <c r="J143" s="1">
        <v>3</v>
      </c>
      <c r="K143" s="1">
        <v>5</v>
      </c>
      <c r="L143" s="1">
        <v>5</v>
      </c>
      <c r="M143" s="1">
        <v>40</v>
      </c>
      <c r="N143" s="1">
        <f t="shared" si="4"/>
        <v>69</v>
      </c>
      <c r="O143" s="6" t="str">
        <f t="shared" si="5"/>
        <v>B</v>
      </c>
    </row>
    <row r="144" spans="2:15" s="5" customFormat="1" ht="21" customHeight="1">
      <c r="B144" s="2">
        <v>139</v>
      </c>
      <c r="C144" s="39" t="s">
        <v>310</v>
      </c>
      <c r="D144" s="39" t="s">
        <v>311</v>
      </c>
      <c r="E144" s="39" t="s">
        <v>309</v>
      </c>
      <c r="F144" s="1">
        <v>5</v>
      </c>
      <c r="G144" s="1">
        <v>3</v>
      </c>
      <c r="H144" s="1">
        <v>5</v>
      </c>
      <c r="I144" s="1">
        <v>3</v>
      </c>
      <c r="J144" s="1">
        <v>3</v>
      </c>
      <c r="K144" s="1">
        <v>5</v>
      </c>
      <c r="L144" s="1">
        <v>5</v>
      </c>
      <c r="M144" s="1">
        <v>40</v>
      </c>
      <c r="N144" s="1">
        <f t="shared" si="4"/>
        <v>69</v>
      </c>
      <c r="O144" s="6" t="str">
        <f t="shared" si="5"/>
        <v>B</v>
      </c>
    </row>
    <row r="145" spans="2:15" s="5" customFormat="1" ht="21" customHeight="1">
      <c r="B145" s="2">
        <v>140</v>
      </c>
      <c r="C145" s="39" t="s">
        <v>312</v>
      </c>
      <c r="D145" s="39" t="s">
        <v>313</v>
      </c>
      <c r="E145" s="39" t="s">
        <v>309</v>
      </c>
      <c r="F145" s="1">
        <v>5</v>
      </c>
      <c r="G145" s="1">
        <v>3</v>
      </c>
      <c r="H145" s="1">
        <v>5</v>
      </c>
      <c r="I145" s="1">
        <v>3</v>
      </c>
      <c r="J145" s="1">
        <v>3</v>
      </c>
      <c r="K145" s="1">
        <v>5</v>
      </c>
      <c r="L145" s="1">
        <v>5</v>
      </c>
      <c r="M145" s="1">
        <v>40</v>
      </c>
      <c r="N145" s="1">
        <f t="shared" si="4"/>
        <v>69</v>
      </c>
      <c r="O145" s="6" t="str">
        <f t="shared" si="5"/>
        <v>B</v>
      </c>
    </row>
    <row r="146" spans="2:15" s="5" customFormat="1" ht="21" customHeight="1">
      <c r="B146" s="2">
        <v>141</v>
      </c>
      <c r="C146" s="39" t="s">
        <v>314</v>
      </c>
      <c r="D146" s="39" t="s">
        <v>315</v>
      </c>
      <c r="E146" s="39" t="s">
        <v>309</v>
      </c>
      <c r="F146" s="1">
        <v>5</v>
      </c>
      <c r="G146" s="1">
        <v>3</v>
      </c>
      <c r="H146" s="1">
        <v>5</v>
      </c>
      <c r="I146" s="1">
        <v>3</v>
      </c>
      <c r="J146" s="1">
        <v>3</v>
      </c>
      <c r="K146" s="1">
        <v>5</v>
      </c>
      <c r="L146" s="1">
        <v>5</v>
      </c>
      <c r="M146" s="1">
        <v>40</v>
      </c>
      <c r="N146" s="1">
        <f t="shared" si="4"/>
        <v>69</v>
      </c>
      <c r="O146" s="6" t="str">
        <f t="shared" si="5"/>
        <v>B</v>
      </c>
    </row>
    <row r="147" spans="2:15" s="5" customFormat="1" ht="21" customHeight="1">
      <c r="B147" s="2">
        <v>142</v>
      </c>
      <c r="C147" s="39" t="s">
        <v>316</v>
      </c>
      <c r="D147" s="39" t="s">
        <v>317</v>
      </c>
      <c r="E147" s="39" t="s">
        <v>318</v>
      </c>
      <c r="F147" s="1">
        <v>15</v>
      </c>
      <c r="G147" s="1">
        <v>1</v>
      </c>
      <c r="H147" s="1">
        <v>1</v>
      </c>
      <c r="I147" s="1">
        <v>1</v>
      </c>
      <c r="J147" s="1">
        <v>5</v>
      </c>
      <c r="K147" s="1">
        <v>1</v>
      </c>
      <c r="L147" s="1">
        <v>15</v>
      </c>
      <c r="M147" s="1">
        <v>20</v>
      </c>
      <c r="N147" s="1">
        <f t="shared" si="4"/>
        <v>59</v>
      </c>
      <c r="O147" s="6" t="str">
        <f t="shared" si="5"/>
        <v>B</v>
      </c>
    </row>
    <row r="148" spans="2:15" s="5" customFormat="1" ht="21" customHeight="1">
      <c r="B148" s="2">
        <v>143</v>
      </c>
      <c r="C148" s="39" t="s">
        <v>319</v>
      </c>
      <c r="D148" s="39" t="s">
        <v>320</v>
      </c>
      <c r="E148" s="39" t="s">
        <v>321</v>
      </c>
      <c r="F148" s="1">
        <v>5</v>
      </c>
      <c r="G148" s="1">
        <v>5</v>
      </c>
      <c r="H148" s="1">
        <v>10</v>
      </c>
      <c r="I148" s="1">
        <v>1</v>
      </c>
      <c r="J148" s="1">
        <v>5</v>
      </c>
      <c r="K148" s="1">
        <v>1</v>
      </c>
      <c r="L148" s="1">
        <v>1</v>
      </c>
      <c r="M148" s="1">
        <v>100</v>
      </c>
      <c r="N148" s="1">
        <f t="shared" si="4"/>
        <v>128</v>
      </c>
      <c r="O148" s="6" t="str">
        <f t="shared" si="5"/>
        <v>A</v>
      </c>
    </row>
    <row r="149" spans="2:15" s="5" customFormat="1" ht="21" customHeight="1">
      <c r="B149" s="2">
        <v>144</v>
      </c>
      <c r="C149" s="26"/>
      <c r="D149" s="47" t="s">
        <v>322</v>
      </c>
      <c r="E149" s="41"/>
      <c r="F149" s="1"/>
      <c r="G149" s="1"/>
      <c r="H149" s="1"/>
      <c r="I149" s="1"/>
      <c r="J149" s="1"/>
      <c r="K149" s="1"/>
      <c r="L149" s="1"/>
      <c r="M149" s="1"/>
      <c r="N149" s="1">
        <f t="shared" si="4"/>
        <v>0</v>
      </c>
      <c r="O149" s="6">
        <f t="shared" si="5"/>
        <v>0</v>
      </c>
    </row>
    <row r="150" spans="2:15" s="5" customFormat="1" ht="21" customHeight="1">
      <c r="B150" s="2">
        <v>145</v>
      </c>
      <c r="C150" s="26"/>
      <c r="D150" s="47" t="s">
        <v>323</v>
      </c>
      <c r="E150" s="41" t="s">
        <v>324</v>
      </c>
      <c r="F150" s="1"/>
      <c r="G150" s="1"/>
      <c r="H150" s="1"/>
      <c r="I150" s="1"/>
      <c r="J150" s="1"/>
      <c r="K150" s="1"/>
      <c r="L150" s="1"/>
      <c r="M150" s="1"/>
      <c r="N150" s="1">
        <f t="shared" si="4"/>
        <v>0</v>
      </c>
      <c r="O150" s="6">
        <f t="shared" si="5"/>
        <v>0</v>
      </c>
    </row>
    <row r="151" spans="2:15" s="5" customFormat="1" ht="21" customHeight="1">
      <c r="B151" s="2">
        <v>146</v>
      </c>
      <c r="C151" s="26"/>
      <c r="D151" s="47" t="s">
        <v>325</v>
      </c>
      <c r="E151" s="41" t="s">
        <v>326</v>
      </c>
      <c r="F151" s="1"/>
      <c r="G151" s="1"/>
      <c r="H151" s="1"/>
      <c r="I151" s="1"/>
      <c r="J151" s="1"/>
      <c r="K151" s="1"/>
      <c r="L151" s="1"/>
      <c r="M151" s="1"/>
      <c r="N151" s="1">
        <f t="shared" si="4"/>
        <v>0</v>
      </c>
      <c r="O151" s="6">
        <f t="shared" si="5"/>
        <v>0</v>
      </c>
    </row>
    <row r="152" spans="2:15" s="5" customFormat="1" ht="21" customHeight="1">
      <c r="B152" s="2">
        <v>147</v>
      </c>
      <c r="C152" s="26"/>
      <c r="D152" s="47" t="s">
        <v>327</v>
      </c>
      <c r="E152" s="41" t="s">
        <v>326</v>
      </c>
      <c r="F152" s="1"/>
      <c r="G152" s="1"/>
      <c r="H152" s="1"/>
      <c r="I152" s="1"/>
      <c r="J152" s="1"/>
      <c r="K152" s="1"/>
      <c r="L152" s="1"/>
      <c r="M152" s="1"/>
      <c r="N152" s="1">
        <f t="shared" si="4"/>
        <v>0</v>
      </c>
      <c r="O152" s="6">
        <f t="shared" si="5"/>
        <v>0</v>
      </c>
    </row>
    <row r="153" spans="2:15" s="5" customFormat="1" ht="21" customHeight="1">
      <c r="B153" s="2">
        <v>148</v>
      </c>
      <c r="C153" s="26"/>
      <c r="D153" s="47" t="s">
        <v>328</v>
      </c>
      <c r="E153" s="41" t="s">
        <v>329</v>
      </c>
      <c r="F153" s="1"/>
      <c r="G153" s="1"/>
      <c r="H153" s="1"/>
      <c r="I153" s="1"/>
      <c r="J153" s="1"/>
      <c r="K153" s="1"/>
      <c r="L153" s="1"/>
      <c r="M153" s="1"/>
      <c r="N153" s="1">
        <f t="shared" si="4"/>
        <v>0</v>
      </c>
      <c r="O153" s="6">
        <f t="shared" si="5"/>
        <v>0</v>
      </c>
    </row>
    <row r="154" spans="2:15" s="5" customFormat="1" ht="21" customHeight="1">
      <c r="B154" s="2">
        <v>149</v>
      </c>
      <c r="C154" s="26"/>
      <c r="D154" s="47" t="s">
        <v>330</v>
      </c>
      <c r="E154" s="41" t="s">
        <v>331</v>
      </c>
      <c r="F154" s="1"/>
      <c r="G154" s="1"/>
      <c r="H154" s="1"/>
      <c r="I154" s="1"/>
      <c r="J154" s="1"/>
      <c r="K154" s="1"/>
      <c r="L154" s="1"/>
      <c r="M154" s="1"/>
      <c r="N154" s="1">
        <f t="shared" si="4"/>
        <v>0</v>
      </c>
      <c r="O154" s="6">
        <f t="shared" si="5"/>
        <v>0</v>
      </c>
    </row>
    <row r="155" spans="2:15" s="5" customFormat="1" ht="21" customHeight="1">
      <c r="B155" s="2">
        <v>150</v>
      </c>
      <c r="C155" s="26"/>
      <c r="D155" s="47" t="s">
        <v>332</v>
      </c>
      <c r="E155" s="41" t="s">
        <v>331</v>
      </c>
      <c r="F155" s="1"/>
      <c r="G155" s="1"/>
      <c r="H155" s="1"/>
      <c r="I155" s="1"/>
      <c r="J155" s="1"/>
      <c r="K155" s="1"/>
      <c r="L155" s="1"/>
      <c r="M155" s="1"/>
      <c r="N155" s="1">
        <f t="shared" si="4"/>
        <v>0</v>
      </c>
      <c r="O155" s="6">
        <f t="shared" si="5"/>
        <v>0</v>
      </c>
    </row>
    <row r="156" spans="2:15" s="5" customFormat="1" ht="21" customHeight="1">
      <c r="B156" s="2">
        <v>151</v>
      </c>
      <c r="C156" s="26"/>
      <c r="D156" s="27"/>
      <c r="E156" s="41"/>
      <c r="F156" s="1"/>
      <c r="G156" s="1"/>
      <c r="H156" s="1"/>
      <c r="I156" s="1"/>
      <c r="J156" s="1"/>
      <c r="K156" s="1"/>
      <c r="L156" s="1"/>
      <c r="M156" s="1"/>
      <c r="N156" s="1">
        <f t="shared" si="4"/>
        <v>0</v>
      </c>
      <c r="O156" s="6">
        <f t="shared" si="5"/>
        <v>0</v>
      </c>
    </row>
    <row r="157" spans="2:15" s="5" customFormat="1" ht="21" customHeight="1">
      <c r="B157" s="2">
        <v>152</v>
      </c>
      <c r="C157" s="26"/>
      <c r="D157" s="27"/>
      <c r="E157" s="41"/>
      <c r="F157" s="1"/>
      <c r="G157" s="1"/>
      <c r="H157" s="1"/>
      <c r="I157" s="1"/>
      <c r="J157" s="1"/>
      <c r="K157" s="1"/>
      <c r="L157" s="1"/>
      <c r="M157" s="1"/>
      <c r="N157" s="1">
        <f t="shared" si="4"/>
        <v>0</v>
      </c>
      <c r="O157" s="6">
        <f t="shared" si="5"/>
        <v>0</v>
      </c>
    </row>
    <row r="158" spans="2:15" s="5" customFormat="1" ht="21" customHeight="1">
      <c r="B158" s="2">
        <v>153</v>
      </c>
      <c r="C158" s="26"/>
      <c r="D158" s="27"/>
      <c r="E158" s="41"/>
      <c r="F158" s="1"/>
      <c r="G158" s="1"/>
      <c r="H158" s="1"/>
      <c r="I158" s="1"/>
      <c r="J158" s="1"/>
      <c r="K158" s="1"/>
      <c r="L158" s="1"/>
      <c r="M158" s="1"/>
      <c r="N158" s="1">
        <f t="shared" si="4"/>
        <v>0</v>
      </c>
      <c r="O158" s="6">
        <f t="shared" si="5"/>
        <v>0</v>
      </c>
    </row>
    <row r="159" spans="2:15" s="5" customFormat="1" ht="21" customHeight="1">
      <c r="B159" s="2">
        <v>154</v>
      </c>
      <c r="C159" s="26"/>
      <c r="D159" s="27"/>
      <c r="E159" s="41"/>
      <c r="F159" s="1"/>
      <c r="G159" s="1"/>
      <c r="H159" s="1"/>
      <c r="I159" s="1"/>
      <c r="J159" s="1"/>
      <c r="K159" s="1"/>
      <c r="L159" s="1"/>
      <c r="M159" s="1"/>
      <c r="N159" s="1">
        <f t="shared" si="4"/>
        <v>0</v>
      </c>
      <c r="O159" s="6">
        <f t="shared" si="5"/>
        <v>0</v>
      </c>
    </row>
    <row r="160" spans="2:15" s="5" customFormat="1" ht="21" customHeight="1">
      <c r="B160" s="2">
        <v>155</v>
      </c>
      <c r="C160" s="26"/>
      <c r="D160" s="27"/>
      <c r="E160" s="41"/>
      <c r="F160" s="1"/>
      <c r="G160" s="1"/>
      <c r="H160" s="1"/>
      <c r="I160" s="1"/>
      <c r="J160" s="1"/>
      <c r="K160" s="1"/>
      <c r="L160" s="1"/>
      <c r="M160" s="1"/>
      <c r="N160" s="1">
        <f t="shared" si="4"/>
        <v>0</v>
      </c>
      <c r="O160" s="6">
        <f t="shared" si="5"/>
        <v>0</v>
      </c>
    </row>
    <row r="161" spans="2:15" s="5" customFormat="1" ht="21" customHeight="1">
      <c r="B161" s="2">
        <v>156</v>
      </c>
      <c r="C161" s="26"/>
      <c r="D161" s="27"/>
      <c r="E161" s="41"/>
      <c r="F161" s="1"/>
      <c r="G161" s="1"/>
      <c r="H161" s="1"/>
      <c r="I161" s="1"/>
      <c r="J161" s="1"/>
      <c r="K161" s="1"/>
      <c r="L161" s="1"/>
      <c r="M161" s="1"/>
      <c r="N161" s="1">
        <f t="shared" si="4"/>
        <v>0</v>
      </c>
      <c r="O161" s="6">
        <f t="shared" si="5"/>
        <v>0</v>
      </c>
    </row>
    <row r="162" spans="2:15" s="5" customFormat="1" ht="21" customHeight="1">
      <c r="B162" s="2">
        <v>157</v>
      </c>
      <c r="C162" s="26"/>
      <c r="D162" s="27"/>
      <c r="E162" s="41"/>
      <c r="F162" s="1"/>
      <c r="G162" s="1"/>
      <c r="H162" s="1"/>
      <c r="I162" s="1"/>
      <c r="J162" s="1"/>
      <c r="K162" s="1"/>
      <c r="L162" s="1"/>
      <c r="M162" s="1"/>
      <c r="N162" s="1">
        <f t="shared" si="4"/>
        <v>0</v>
      </c>
      <c r="O162" s="6">
        <f t="shared" si="5"/>
        <v>0</v>
      </c>
    </row>
    <row r="163" spans="2:15" s="5" customFormat="1" ht="21" customHeight="1">
      <c r="B163" s="2">
        <v>158</v>
      </c>
      <c r="C163" s="26"/>
      <c r="D163" s="27"/>
      <c r="E163" s="41"/>
      <c r="F163" s="1"/>
      <c r="G163" s="1"/>
      <c r="H163" s="1"/>
      <c r="I163" s="1"/>
      <c r="J163" s="1"/>
      <c r="K163" s="1"/>
      <c r="L163" s="1"/>
      <c r="M163" s="1"/>
      <c r="N163" s="1">
        <f t="shared" si="4"/>
        <v>0</v>
      </c>
      <c r="O163" s="6">
        <f t="shared" si="5"/>
        <v>0</v>
      </c>
    </row>
    <row r="164" spans="2:15" s="5" customFormat="1" ht="21" customHeight="1">
      <c r="B164" s="2">
        <v>159</v>
      </c>
      <c r="C164" s="26"/>
      <c r="D164" s="27"/>
      <c r="E164" s="41"/>
      <c r="F164" s="1"/>
      <c r="G164" s="1"/>
      <c r="H164" s="1"/>
      <c r="I164" s="1"/>
      <c r="J164" s="1"/>
      <c r="K164" s="1"/>
      <c r="L164" s="1"/>
      <c r="M164" s="1"/>
      <c r="N164" s="1">
        <f t="shared" si="4"/>
        <v>0</v>
      </c>
      <c r="O164" s="6">
        <f t="shared" si="5"/>
        <v>0</v>
      </c>
    </row>
    <row r="165" spans="2:15" s="5" customFormat="1" ht="21" customHeight="1">
      <c r="B165" s="2">
        <v>160</v>
      </c>
      <c r="C165" s="26"/>
      <c r="D165" s="27"/>
      <c r="E165" s="41"/>
      <c r="F165" s="1"/>
      <c r="G165" s="1"/>
      <c r="H165" s="1"/>
      <c r="I165" s="1"/>
      <c r="J165" s="1"/>
      <c r="K165" s="1"/>
      <c r="L165" s="1"/>
      <c r="M165" s="1"/>
      <c r="N165" s="1">
        <f t="shared" si="4"/>
        <v>0</v>
      </c>
      <c r="O165" s="6">
        <f t="shared" si="5"/>
        <v>0</v>
      </c>
    </row>
    <row r="166" spans="2:15" s="5" customFormat="1" ht="21" customHeight="1">
      <c r="B166" s="2">
        <v>161</v>
      </c>
      <c r="C166" s="26"/>
      <c r="D166" s="27"/>
      <c r="E166" s="41"/>
      <c r="F166" s="1"/>
      <c r="G166" s="1"/>
      <c r="H166" s="1"/>
      <c r="I166" s="1"/>
      <c r="J166" s="1"/>
      <c r="K166" s="1"/>
      <c r="L166" s="1"/>
      <c r="M166" s="1"/>
      <c r="N166" s="1">
        <f t="shared" si="4"/>
        <v>0</v>
      </c>
      <c r="O166" s="6">
        <f t="shared" si="5"/>
        <v>0</v>
      </c>
    </row>
    <row r="167" spans="2:15" s="5" customFormat="1" ht="21" customHeight="1">
      <c r="B167" s="2">
        <v>162</v>
      </c>
      <c r="C167" s="26"/>
      <c r="D167" s="27"/>
      <c r="E167" s="41"/>
      <c r="F167" s="1"/>
      <c r="G167" s="1"/>
      <c r="H167" s="1"/>
      <c r="I167" s="1"/>
      <c r="J167" s="1"/>
      <c r="K167" s="1"/>
      <c r="L167" s="1"/>
      <c r="M167" s="1"/>
      <c r="N167" s="1">
        <f t="shared" si="4"/>
        <v>0</v>
      </c>
      <c r="O167" s="6">
        <f t="shared" si="5"/>
        <v>0</v>
      </c>
    </row>
    <row r="168" spans="2:15" s="5" customFormat="1" ht="21" customHeight="1">
      <c r="B168" s="2">
        <v>163</v>
      </c>
      <c r="C168" s="26"/>
      <c r="D168" s="27"/>
      <c r="E168" s="41"/>
      <c r="F168" s="1"/>
      <c r="G168" s="1"/>
      <c r="H168" s="1"/>
      <c r="I168" s="1"/>
      <c r="J168" s="1"/>
      <c r="K168" s="1"/>
      <c r="L168" s="1"/>
      <c r="M168" s="1"/>
      <c r="N168" s="1">
        <f t="shared" si="4"/>
        <v>0</v>
      </c>
      <c r="O168" s="6">
        <f t="shared" si="5"/>
        <v>0</v>
      </c>
    </row>
    <row r="169" spans="2:15" s="5" customFormat="1" ht="21" customHeight="1">
      <c r="B169" s="2">
        <v>164</v>
      </c>
      <c r="C169" s="26"/>
      <c r="D169" s="27"/>
      <c r="E169" s="41"/>
      <c r="F169" s="1"/>
      <c r="G169" s="1"/>
      <c r="H169" s="1"/>
      <c r="I169" s="1"/>
      <c r="J169" s="1"/>
      <c r="K169" s="1"/>
      <c r="L169" s="1"/>
      <c r="M169" s="1"/>
      <c r="N169" s="1">
        <f t="shared" si="4"/>
        <v>0</v>
      </c>
      <c r="O169" s="6">
        <f t="shared" si="5"/>
        <v>0</v>
      </c>
    </row>
    <row r="170" spans="2:15" s="5" customFormat="1" ht="21" customHeight="1">
      <c r="B170" s="2">
        <v>165</v>
      </c>
      <c r="C170" s="26"/>
      <c r="D170" s="27"/>
      <c r="E170" s="41"/>
      <c r="F170" s="1"/>
      <c r="G170" s="1"/>
      <c r="H170" s="1"/>
      <c r="I170" s="1"/>
      <c r="J170" s="1"/>
      <c r="K170" s="1"/>
      <c r="L170" s="1"/>
      <c r="M170" s="1"/>
      <c r="N170" s="1">
        <f t="shared" si="4"/>
        <v>0</v>
      </c>
      <c r="O170" s="6">
        <f t="shared" si="5"/>
        <v>0</v>
      </c>
    </row>
    <row r="171" spans="2:15" s="5" customFormat="1" ht="21" customHeight="1">
      <c r="B171" s="2">
        <v>166</v>
      </c>
      <c r="C171" s="26"/>
      <c r="D171" s="27"/>
      <c r="E171" s="41"/>
      <c r="F171" s="1"/>
      <c r="G171" s="1"/>
      <c r="H171" s="1"/>
      <c r="I171" s="1"/>
      <c r="J171" s="1"/>
      <c r="K171" s="1"/>
      <c r="L171" s="1"/>
      <c r="M171" s="1"/>
      <c r="N171" s="1">
        <f t="shared" si="4"/>
        <v>0</v>
      </c>
      <c r="O171" s="6">
        <f t="shared" si="5"/>
        <v>0</v>
      </c>
    </row>
    <row r="172" spans="2:15" s="5" customFormat="1" ht="21" customHeight="1">
      <c r="B172" s="2">
        <v>167</v>
      </c>
      <c r="C172" s="26"/>
      <c r="D172" s="27"/>
      <c r="E172" s="41"/>
      <c r="F172" s="1"/>
      <c r="G172" s="1"/>
      <c r="H172" s="1"/>
      <c r="I172" s="1"/>
      <c r="J172" s="1"/>
      <c r="K172" s="1"/>
      <c r="L172" s="1"/>
      <c r="M172" s="1"/>
      <c r="N172" s="1">
        <f t="shared" si="4"/>
        <v>0</v>
      </c>
      <c r="O172" s="6">
        <f t="shared" si="5"/>
        <v>0</v>
      </c>
    </row>
    <row r="173" spans="2:15" s="5" customFormat="1" ht="21" customHeight="1">
      <c r="B173" s="2">
        <v>168</v>
      </c>
      <c r="C173" s="26"/>
      <c r="D173" s="27"/>
      <c r="E173" s="41"/>
      <c r="F173" s="1"/>
      <c r="G173" s="1"/>
      <c r="H173" s="1"/>
      <c r="I173" s="1"/>
      <c r="J173" s="1"/>
      <c r="K173" s="1"/>
      <c r="L173" s="1"/>
      <c r="M173" s="1"/>
      <c r="N173" s="1">
        <f t="shared" si="4"/>
        <v>0</v>
      </c>
      <c r="O173" s="6">
        <f t="shared" si="5"/>
        <v>0</v>
      </c>
    </row>
    <row r="174" spans="2:15" s="5" customFormat="1" ht="21" customHeight="1">
      <c r="B174" s="2">
        <v>169</v>
      </c>
      <c r="C174" s="26"/>
      <c r="D174" s="27"/>
      <c r="E174" s="41"/>
      <c r="F174" s="1"/>
      <c r="G174" s="1"/>
      <c r="H174" s="1"/>
      <c r="I174" s="1"/>
      <c r="J174" s="1"/>
      <c r="K174" s="1"/>
      <c r="L174" s="1"/>
      <c r="M174" s="1"/>
      <c r="N174" s="1">
        <f t="shared" si="4"/>
        <v>0</v>
      </c>
      <c r="O174" s="6">
        <f t="shared" si="5"/>
        <v>0</v>
      </c>
    </row>
    <row r="175" spans="2:15" s="5" customFormat="1" ht="21" customHeight="1">
      <c r="B175" s="2">
        <v>170</v>
      </c>
      <c r="C175" s="26"/>
      <c r="D175" s="27"/>
      <c r="E175" s="41"/>
      <c r="F175" s="1"/>
      <c r="G175" s="1"/>
      <c r="H175" s="1"/>
      <c r="I175" s="1"/>
      <c r="J175" s="1"/>
      <c r="K175" s="1"/>
      <c r="L175" s="1"/>
      <c r="M175" s="1"/>
      <c r="N175" s="1">
        <f t="shared" si="4"/>
        <v>0</v>
      </c>
      <c r="O175" s="6">
        <f t="shared" si="5"/>
        <v>0</v>
      </c>
    </row>
    <row r="176" spans="2:15" s="5" customFormat="1" ht="21" customHeight="1">
      <c r="B176" s="2">
        <v>171</v>
      </c>
      <c r="C176" s="26"/>
      <c r="D176" s="27"/>
      <c r="E176" s="41"/>
      <c r="F176" s="1"/>
      <c r="G176" s="1"/>
      <c r="H176" s="1"/>
      <c r="I176" s="1"/>
      <c r="J176" s="1"/>
      <c r="K176" s="1"/>
      <c r="L176" s="1"/>
      <c r="M176" s="1"/>
      <c r="N176" s="1">
        <f t="shared" si="4"/>
        <v>0</v>
      </c>
      <c r="O176" s="6">
        <f t="shared" si="5"/>
        <v>0</v>
      </c>
    </row>
    <row r="177" spans="2:15" s="5" customFormat="1" ht="21" customHeight="1">
      <c r="B177" s="2">
        <v>172</v>
      </c>
      <c r="C177" s="26"/>
      <c r="D177" s="27"/>
      <c r="E177" s="41"/>
      <c r="F177" s="1"/>
      <c r="G177" s="1"/>
      <c r="H177" s="1"/>
      <c r="I177" s="1"/>
      <c r="J177" s="1"/>
      <c r="K177" s="1"/>
      <c r="L177" s="1"/>
      <c r="M177" s="1"/>
      <c r="N177" s="1">
        <f t="shared" si="4"/>
        <v>0</v>
      </c>
      <c r="O177" s="6">
        <f t="shared" si="5"/>
        <v>0</v>
      </c>
    </row>
    <row r="178" spans="2:15" s="5" customFormat="1" ht="21" customHeight="1">
      <c r="B178" s="2">
        <v>173</v>
      </c>
      <c r="C178" s="26"/>
      <c r="D178" s="27"/>
      <c r="E178" s="41"/>
      <c r="F178" s="1"/>
      <c r="G178" s="1"/>
      <c r="H178" s="1"/>
      <c r="I178" s="1"/>
      <c r="J178" s="1"/>
      <c r="K178" s="1"/>
      <c r="L178" s="1"/>
      <c r="M178" s="1"/>
      <c r="N178" s="1">
        <f t="shared" si="4"/>
        <v>0</v>
      </c>
      <c r="O178" s="6">
        <f t="shared" si="5"/>
        <v>0</v>
      </c>
    </row>
    <row r="179" spans="2:15" s="5" customFormat="1" ht="21" customHeight="1">
      <c r="B179" s="2">
        <v>174</v>
      </c>
      <c r="C179" s="26"/>
      <c r="D179" s="27"/>
      <c r="E179" s="41"/>
      <c r="F179" s="1"/>
      <c r="G179" s="1"/>
      <c r="H179" s="1"/>
      <c r="I179" s="1"/>
      <c r="J179" s="1"/>
      <c r="K179" s="1"/>
      <c r="L179" s="1"/>
      <c r="M179" s="1"/>
      <c r="N179" s="1">
        <f t="shared" si="4"/>
        <v>0</v>
      </c>
      <c r="O179" s="6">
        <f t="shared" si="5"/>
        <v>0</v>
      </c>
    </row>
    <row r="180" spans="2:15" s="5" customFormat="1" ht="21" customHeight="1">
      <c r="B180" s="2">
        <v>175</v>
      </c>
      <c r="C180" s="26"/>
      <c r="D180" s="27"/>
      <c r="E180" s="41"/>
      <c r="F180" s="1"/>
      <c r="G180" s="1"/>
      <c r="H180" s="1"/>
      <c r="I180" s="1"/>
      <c r="J180" s="1"/>
      <c r="K180" s="1"/>
      <c r="L180" s="1"/>
      <c r="M180" s="1"/>
      <c r="N180" s="1">
        <f t="shared" si="4"/>
        <v>0</v>
      </c>
      <c r="O180" s="6">
        <f t="shared" si="5"/>
        <v>0</v>
      </c>
    </row>
    <row r="181" spans="2:15" s="5" customFormat="1" ht="21" customHeight="1">
      <c r="B181" s="2">
        <v>176</v>
      </c>
      <c r="C181" s="26"/>
      <c r="D181" s="27"/>
      <c r="E181" s="41"/>
      <c r="F181" s="1"/>
      <c r="G181" s="1"/>
      <c r="H181" s="1"/>
      <c r="I181" s="1"/>
      <c r="J181" s="1"/>
      <c r="K181" s="1"/>
      <c r="L181" s="1"/>
      <c r="M181" s="1"/>
      <c r="N181" s="1">
        <f t="shared" si="4"/>
        <v>0</v>
      </c>
      <c r="O181" s="6">
        <f t="shared" si="5"/>
        <v>0</v>
      </c>
    </row>
    <row r="182" spans="2:15" s="5" customFormat="1" ht="21" customHeight="1">
      <c r="B182" s="2">
        <v>177</v>
      </c>
      <c r="C182" s="26"/>
      <c r="D182" s="27"/>
      <c r="E182" s="41"/>
      <c r="F182" s="1"/>
      <c r="G182" s="1"/>
      <c r="H182" s="1"/>
      <c r="I182" s="1"/>
      <c r="J182" s="1"/>
      <c r="K182" s="1"/>
      <c r="L182" s="1"/>
      <c r="M182" s="1"/>
      <c r="N182" s="1">
        <f t="shared" si="4"/>
        <v>0</v>
      </c>
      <c r="O182" s="6">
        <f t="shared" si="5"/>
        <v>0</v>
      </c>
    </row>
    <row r="183" spans="2:15" s="5" customFormat="1" ht="21" customHeight="1">
      <c r="B183" s="2">
        <v>178</v>
      </c>
      <c r="C183" s="26"/>
      <c r="D183" s="27"/>
      <c r="E183" s="41"/>
      <c r="F183" s="1"/>
      <c r="G183" s="1"/>
      <c r="H183" s="1"/>
      <c r="I183" s="1"/>
      <c r="J183" s="1"/>
      <c r="K183" s="1"/>
      <c r="L183" s="1"/>
      <c r="M183" s="1"/>
      <c r="N183" s="1">
        <f t="shared" si="4"/>
        <v>0</v>
      </c>
      <c r="O183" s="6">
        <f t="shared" si="5"/>
        <v>0</v>
      </c>
    </row>
    <row r="184" spans="2:15" s="5" customFormat="1" ht="21" customHeight="1">
      <c r="B184" s="2">
        <v>179</v>
      </c>
      <c r="C184" s="26"/>
      <c r="D184" s="27"/>
      <c r="E184" s="41"/>
      <c r="F184" s="1"/>
      <c r="G184" s="1"/>
      <c r="H184" s="1"/>
      <c r="I184" s="1"/>
      <c r="J184" s="1"/>
      <c r="K184" s="1"/>
      <c r="L184" s="1"/>
      <c r="M184" s="1"/>
      <c r="N184" s="1">
        <f t="shared" si="4"/>
        <v>0</v>
      </c>
      <c r="O184" s="6">
        <f t="shared" si="5"/>
        <v>0</v>
      </c>
    </row>
    <row r="185" spans="2:15" s="5" customFormat="1" ht="21" customHeight="1">
      <c r="B185" s="2">
        <v>180</v>
      </c>
      <c r="C185" s="26"/>
      <c r="D185" s="27"/>
      <c r="E185" s="41"/>
      <c r="F185" s="1"/>
      <c r="G185" s="1"/>
      <c r="H185" s="1"/>
      <c r="I185" s="1"/>
      <c r="J185" s="1"/>
      <c r="K185" s="1"/>
      <c r="L185" s="1"/>
      <c r="M185" s="1"/>
      <c r="N185" s="1">
        <f t="shared" si="4"/>
        <v>0</v>
      </c>
      <c r="O185" s="6">
        <f t="shared" si="5"/>
        <v>0</v>
      </c>
    </row>
    <row r="186" spans="2:15" s="5" customFormat="1" ht="21" customHeight="1">
      <c r="B186" s="2">
        <v>181</v>
      </c>
      <c r="C186" s="26"/>
      <c r="D186" s="27"/>
      <c r="E186" s="41"/>
      <c r="F186" s="1"/>
      <c r="G186" s="1"/>
      <c r="H186" s="1"/>
      <c r="I186" s="1"/>
      <c r="J186" s="1"/>
      <c r="K186" s="1"/>
      <c r="L186" s="1"/>
      <c r="M186" s="1"/>
      <c r="N186" s="1">
        <f t="shared" si="4"/>
        <v>0</v>
      </c>
      <c r="O186" s="6">
        <f t="shared" si="5"/>
        <v>0</v>
      </c>
    </row>
    <row r="187" spans="2:15" s="5" customFormat="1" ht="21" customHeight="1">
      <c r="B187" s="2">
        <v>182</v>
      </c>
      <c r="C187" s="26"/>
      <c r="D187" s="27"/>
      <c r="E187" s="41"/>
      <c r="F187" s="1"/>
      <c r="G187" s="1"/>
      <c r="H187" s="1"/>
      <c r="I187" s="1"/>
      <c r="J187" s="1"/>
      <c r="K187" s="1"/>
      <c r="L187" s="1"/>
      <c r="M187" s="1"/>
      <c r="N187" s="1">
        <f t="shared" si="4"/>
        <v>0</v>
      </c>
      <c r="O187" s="6">
        <f t="shared" si="5"/>
        <v>0</v>
      </c>
    </row>
    <row r="188" spans="2:15" s="5" customFormat="1" ht="21" customHeight="1">
      <c r="B188" s="2">
        <v>183</v>
      </c>
      <c r="C188" s="26"/>
      <c r="D188" s="27"/>
      <c r="E188" s="41"/>
      <c r="F188" s="1"/>
      <c r="G188" s="1"/>
      <c r="H188" s="1"/>
      <c r="I188" s="1"/>
      <c r="J188" s="1"/>
      <c r="K188" s="1"/>
      <c r="L188" s="1"/>
      <c r="M188" s="1"/>
      <c r="N188" s="1">
        <f t="shared" si="4"/>
        <v>0</v>
      </c>
      <c r="O188" s="6">
        <f t="shared" si="5"/>
        <v>0</v>
      </c>
    </row>
    <row r="189" spans="2:15" s="5" customFormat="1" ht="21" customHeight="1">
      <c r="B189" s="2">
        <v>184</v>
      </c>
      <c r="C189" s="26"/>
      <c r="D189" s="27"/>
      <c r="E189" s="41"/>
      <c r="F189" s="1"/>
      <c r="G189" s="1"/>
      <c r="H189" s="1"/>
      <c r="I189" s="1"/>
      <c r="J189" s="1"/>
      <c r="K189" s="1"/>
      <c r="L189" s="1"/>
      <c r="M189" s="1"/>
      <c r="N189" s="1">
        <f t="shared" si="4"/>
        <v>0</v>
      </c>
      <c r="O189" s="6">
        <f t="shared" si="5"/>
        <v>0</v>
      </c>
    </row>
    <row r="190" spans="2:15" s="5" customFormat="1" ht="21" customHeight="1">
      <c r="B190" s="2">
        <v>185</v>
      </c>
      <c r="C190" s="26"/>
      <c r="D190" s="27"/>
      <c r="E190" s="41"/>
      <c r="F190" s="1"/>
      <c r="G190" s="1"/>
      <c r="H190" s="1"/>
      <c r="I190" s="1"/>
      <c r="J190" s="1"/>
      <c r="K190" s="1"/>
      <c r="L190" s="1"/>
      <c r="M190" s="1"/>
      <c r="N190" s="1">
        <f t="shared" si="4"/>
        <v>0</v>
      </c>
      <c r="O190" s="6">
        <f t="shared" si="5"/>
        <v>0</v>
      </c>
    </row>
    <row r="191" spans="2:15" s="5" customFormat="1" ht="21" customHeight="1">
      <c r="B191" s="2">
        <v>186</v>
      </c>
      <c r="C191" s="26"/>
      <c r="D191" s="27"/>
      <c r="E191" s="41"/>
      <c r="F191" s="1"/>
      <c r="G191" s="1"/>
      <c r="H191" s="1"/>
      <c r="I191" s="1"/>
      <c r="J191" s="1"/>
      <c r="K191" s="1"/>
      <c r="L191" s="1"/>
      <c r="M191" s="1"/>
      <c r="N191" s="1">
        <f t="shared" si="4"/>
        <v>0</v>
      </c>
      <c r="O191" s="6">
        <f t="shared" si="5"/>
        <v>0</v>
      </c>
    </row>
    <row r="192" spans="2:15" s="5" customFormat="1" ht="21" customHeight="1">
      <c r="B192" s="2">
        <v>187</v>
      </c>
      <c r="C192" s="26"/>
      <c r="D192" s="27"/>
      <c r="E192" s="41"/>
      <c r="F192" s="1"/>
      <c r="G192" s="1"/>
      <c r="H192" s="1"/>
      <c r="I192" s="1"/>
      <c r="J192" s="1"/>
      <c r="K192" s="1"/>
      <c r="L192" s="1"/>
      <c r="M192" s="1"/>
      <c r="N192" s="1">
        <f t="shared" si="4"/>
        <v>0</v>
      </c>
      <c r="O192" s="6">
        <f t="shared" si="5"/>
        <v>0</v>
      </c>
    </row>
    <row r="193" spans="1:15" s="5" customFormat="1" ht="21" customHeight="1">
      <c r="B193" s="2">
        <v>188</v>
      </c>
      <c r="C193" s="26"/>
      <c r="D193" s="27"/>
      <c r="E193" s="41"/>
      <c r="F193" s="1"/>
      <c r="G193" s="1"/>
      <c r="H193" s="1"/>
      <c r="I193" s="1"/>
      <c r="J193" s="1"/>
      <c r="K193" s="1"/>
      <c r="L193" s="1"/>
      <c r="M193" s="1"/>
      <c r="N193" s="1">
        <f t="shared" si="4"/>
        <v>0</v>
      </c>
      <c r="O193" s="6">
        <f t="shared" si="5"/>
        <v>0</v>
      </c>
    </row>
    <row r="194" spans="1:15" s="5" customFormat="1" ht="21" customHeight="1">
      <c r="B194" s="2">
        <v>189</v>
      </c>
      <c r="C194" s="26"/>
      <c r="D194" s="27"/>
      <c r="E194" s="41"/>
      <c r="F194" s="1"/>
      <c r="G194" s="1"/>
      <c r="H194" s="1"/>
      <c r="I194" s="1"/>
      <c r="J194" s="1"/>
      <c r="K194" s="1"/>
      <c r="L194" s="1"/>
      <c r="M194" s="1"/>
      <c r="N194" s="1">
        <f t="shared" si="4"/>
        <v>0</v>
      </c>
      <c r="O194" s="6">
        <f t="shared" si="5"/>
        <v>0</v>
      </c>
    </row>
    <row r="195" spans="1:15" s="5" customFormat="1" ht="21" customHeight="1">
      <c r="B195" s="2">
        <v>190</v>
      </c>
      <c r="C195" s="26"/>
      <c r="D195" s="27"/>
      <c r="E195" s="41"/>
      <c r="F195" s="1"/>
      <c r="G195" s="1"/>
      <c r="H195" s="1"/>
      <c r="I195" s="1"/>
      <c r="J195" s="1"/>
      <c r="K195" s="1"/>
      <c r="L195" s="1"/>
      <c r="M195" s="1"/>
      <c r="N195" s="1">
        <f t="shared" si="4"/>
        <v>0</v>
      </c>
      <c r="O195" s="6">
        <f t="shared" si="5"/>
        <v>0</v>
      </c>
    </row>
    <row r="196" spans="1:15" s="5" customFormat="1" ht="21" customHeight="1">
      <c r="B196" s="2">
        <v>191</v>
      </c>
      <c r="C196" s="26"/>
      <c r="D196" s="27"/>
      <c r="E196" s="41"/>
      <c r="F196" s="1"/>
      <c r="G196" s="1"/>
      <c r="H196" s="1"/>
      <c r="I196" s="1"/>
      <c r="J196" s="1"/>
      <c r="K196" s="1"/>
      <c r="L196" s="1"/>
      <c r="M196" s="1"/>
      <c r="N196" s="1">
        <f t="shared" si="4"/>
        <v>0</v>
      </c>
      <c r="O196" s="6">
        <f t="shared" si="5"/>
        <v>0</v>
      </c>
    </row>
    <row r="197" spans="1:15" s="5" customFormat="1" ht="21" customHeight="1">
      <c r="B197" s="2">
        <v>192</v>
      </c>
      <c r="C197" s="26"/>
      <c r="D197" s="27"/>
      <c r="E197" s="41"/>
      <c r="F197" s="1"/>
      <c r="G197" s="1"/>
      <c r="H197" s="1"/>
      <c r="I197" s="1"/>
      <c r="J197" s="1"/>
      <c r="K197" s="1"/>
      <c r="L197" s="1"/>
      <c r="M197" s="1"/>
      <c r="N197" s="1">
        <f t="shared" si="4"/>
        <v>0</v>
      </c>
      <c r="O197" s="6">
        <f t="shared" si="5"/>
        <v>0</v>
      </c>
    </row>
    <row r="198" spans="1:15" s="5" customFormat="1" ht="21" customHeight="1">
      <c r="B198" s="42">
        <v>193</v>
      </c>
      <c r="C198" s="43"/>
      <c r="D198" s="43"/>
      <c r="E198" s="43"/>
      <c r="F198" s="1"/>
      <c r="G198" s="1"/>
      <c r="H198" s="1"/>
      <c r="I198" s="1"/>
      <c r="J198" s="1"/>
      <c r="K198" s="1"/>
      <c r="L198" s="1"/>
      <c r="M198" s="1"/>
      <c r="N198" s="1">
        <f>SUBTOTAL(9,F198:M198)</f>
        <v>0</v>
      </c>
      <c r="O198" s="6">
        <f t="shared" si="5"/>
        <v>0</v>
      </c>
    </row>
    <row r="199" spans="1:15" s="5" customFormat="1" ht="21" customHeight="1">
      <c r="B199" s="42">
        <v>194</v>
      </c>
      <c r="C199" s="43"/>
      <c r="D199" s="43"/>
      <c r="E199" s="43"/>
      <c r="F199" s="1"/>
      <c r="G199" s="1"/>
      <c r="H199" s="1"/>
      <c r="I199" s="1"/>
      <c r="J199" s="1"/>
      <c r="K199" s="1"/>
      <c r="L199" s="1"/>
      <c r="M199" s="1"/>
      <c r="N199" s="1">
        <f>SUBTOTAL(9,F199:M199)</f>
        <v>0</v>
      </c>
      <c r="O199" s="6">
        <f>IF(N199=0,0,IF(AND(N199&gt;=150,N199&lt;=205),"AA",IF(AND(N199&gt;=100,N199&lt;=149),"A",IF(AND(N199&gt;=40,N199&lt;=99),"B",IF(N199&lt;=41,"C","Erro")))))</f>
        <v>0</v>
      </c>
    </row>
    <row r="200" spans="1:15" s="5" customFormat="1" ht="21" customHeight="1">
      <c r="B200" s="42">
        <v>195</v>
      </c>
      <c r="C200" s="44"/>
      <c r="D200" s="45"/>
      <c r="E200" s="45"/>
      <c r="F200" s="1"/>
      <c r="G200" s="1"/>
      <c r="H200" s="1"/>
      <c r="I200" s="1"/>
      <c r="J200" s="1"/>
      <c r="K200" s="1"/>
      <c r="L200" s="1"/>
      <c r="M200" s="1"/>
      <c r="N200" s="1">
        <f>SUBTOTAL(9,F200:M200)</f>
        <v>0</v>
      </c>
      <c r="O200" s="6">
        <f>IF(N200=0,0,IF(AND(N200&gt;=150,N200&lt;=205),"AA",IF(AND(N200&gt;=100,N200&lt;=149),"A",IF(AND(N200&gt;=40,N200&lt;=99),"B",IF(N200&lt;=41,"C","Erro")))))</f>
        <v>0</v>
      </c>
    </row>
    <row r="201" spans="1:15" s="5" customFormat="1" ht="21" customHeight="1">
      <c r="B201" s="42">
        <v>196</v>
      </c>
      <c r="C201" s="44"/>
      <c r="D201" s="45"/>
      <c r="E201" s="45"/>
      <c r="F201" s="1"/>
      <c r="G201" s="1"/>
      <c r="H201" s="1"/>
      <c r="I201" s="1"/>
      <c r="J201" s="1"/>
      <c r="K201" s="1"/>
      <c r="L201" s="1"/>
      <c r="M201" s="1"/>
      <c r="N201" s="1">
        <f>SUBTOTAL(9,F201:M201)</f>
        <v>0</v>
      </c>
      <c r="O201" s="6">
        <f>IF(N201=0,0,IF(AND(N201&gt;=150,N201&lt;=205),"AA",IF(AND(N201&gt;=100,N201&lt;=149),"A",IF(AND(N201&gt;=40,N201&lt;=99),"B",IF(N201&lt;=41,"C","Erro")))))</f>
        <v>0</v>
      </c>
    </row>
    <row r="202" spans="1:15" s="5" customFormat="1" ht="21" customHeight="1">
      <c r="B202" s="42">
        <v>197</v>
      </c>
      <c r="C202" s="43"/>
      <c r="D202" s="43"/>
      <c r="E202" s="43"/>
      <c r="F202" s="1"/>
      <c r="G202" s="1"/>
      <c r="H202" s="1"/>
      <c r="I202" s="1"/>
      <c r="J202" s="1"/>
      <c r="K202" s="1"/>
      <c r="L202" s="1"/>
      <c r="M202" s="1"/>
      <c r="N202" s="1">
        <f>SUBTOTAL(9,F202:M202)</f>
        <v>0</v>
      </c>
      <c r="O202" s="6">
        <f>IF(N202=0,0,IF(AND(N202&gt;=150,N202&lt;=205),"AA",IF(AND(N202&gt;=100,N202&lt;=149),"A",IF(AND(N202&gt;=40,N202&lt;=99),"B",IF(N202&lt;=41,"C","Erro")))))</f>
        <v>0</v>
      </c>
    </row>
    <row r="203" spans="1:15" ht="5.25" customHeight="1">
      <c r="A203" s="31"/>
      <c r="B203" s="28"/>
      <c r="C203" s="44"/>
      <c r="D203" s="49"/>
      <c r="E203" s="49"/>
      <c r="F203" s="28"/>
      <c r="G203" s="28"/>
      <c r="H203" s="28"/>
      <c r="I203" s="28"/>
      <c r="J203" s="28"/>
      <c r="K203" s="28"/>
      <c r="L203" s="28"/>
      <c r="M203" s="28"/>
      <c r="N203" s="28"/>
      <c r="O203" s="29"/>
    </row>
    <row r="204" spans="1:15" ht="12.75" hidden="1">
      <c r="A204" s="31"/>
      <c r="C204" s="44"/>
      <c r="D204" s="49"/>
      <c r="E204" s="49"/>
      <c r="M204" s="3" t="s">
        <v>333</v>
      </c>
      <c r="N204" s="3" t="s">
        <v>334</v>
      </c>
      <c r="O204" s="3" t="s">
        <v>335</v>
      </c>
    </row>
    <row r="205" spans="1:15" ht="15" customHeight="1">
      <c r="A205" s="31"/>
      <c r="B205" s="37"/>
      <c r="M205" s="18">
        <f>(N205/$N$209)*100</f>
        <v>8.3916083916083917</v>
      </c>
      <c r="N205" s="19">
        <f>COUNTIF(O6:O202,"AA")</f>
        <v>12</v>
      </c>
      <c r="O205" s="6" t="s">
        <v>336</v>
      </c>
    </row>
    <row r="206" spans="1:15" ht="15" customHeight="1">
      <c r="A206" s="31"/>
      <c r="B206" s="37"/>
      <c r="M206" s="18">
        <f>(N206/$N$209)*100</f>
        <v>20.97902097902098</v>
      </c>
      <c r="N206" s="19">
        <f>COUNTIF(O6:O202,"A")</f>
        <v>30</v>
      </c>
      <c r="O206" s="6" t="s">
        <v>337</v>
      </c>
    </row>
    <row r="207" spans="1:15" ht="15" customHeight="1">
      <c r="A207" s="31"/>
      <c r="M207" s="18">
        <f>(N207/$N$209)*100</f>
        <v>64.335664335664333</v>
      </c>
      <c r="N207" s="19">
        <f>COUNTIF(O6:O202,"B")</f>
        <v>92</v>
      </c>
      <c r="O207" s="6" t="s">
        <v>338</v>
      </c>
    </row>
    <row r="208" spans="1:15" ht="47.25" customHeight="1">
      <c r="B208" s="48" t="s">
        <v>339</v>
      </c>
      <c r="C208" s="48"/>
      <c r="D208" s="58"/>
      <c r="E208" s="58"/>
      <c r="F208" s="50" t="s">
        <v>340</v>
      </c>
      <c r="G208" s="51"/>
      <c r="H208" s="52"/>
      <c r="I208" s="53"/>
      <c r="J208" s="53"/>
      <c r="K208" s="54"/>
      <c r="M208" s="18">
        <f>(N208/$N$209)*100</f>
        <v>6.2937062937062942</v>
      </c>
      <c r="N208" s="19">
        <f>COUNTIF(O6:O202,"C")</f>
        <v>9</v>
      </c>
      <c r="O208" s="6" t="s">
        <v>341</v>
      </c>
    </row>
    <row r="209" spans="2:15" ht="38.25" customHeight="1">
      <c r="B209" s="48"/>
      <c r="C209" s="48"/>
      <c r="D209" s="58"/>
      <c r="E209" s="58"/>
      <c r="F209" s="50"/>
      <c r="G209" s="51"/>
      <c r="H209" s="55"/>
      <c r="I209" s="56"/>
      <c r="J209" s="56"/>
      <c r="K209" s="57"/>
      <c r="M209" s="4">
        <f>SUM(M205:M208)</f>
        <v>100</v>
      </c>
      <c r="N209" s="3">
        <f>SUM(N205:N208)</f>
        <v>143</v>
      </c>
      <c r="O209" s="3" t="s">
        <v>342</v>
      </c>
    </row>
    <row r="210" spans="2:15" ht="6" hidden="1" customHeight="1">
      <c r="B210" s="43"/>
      <c r="C210" s="43"/>
      <c r="D210" s="43"/>
      <c r="E210" s="43"/>
      <c r="O210" s="31"/>
    </row>
    <row r="211" spans="2:15" ht="12.75" hidden="1">
      <c r="B211" s="43"/>
      <c r="C211" s="43"/>
      <c r="D211" s="43"/>
      <c r="E211" s="43"/>
      <c r="O211" s="31"/>
    </row>
    <row r="212" spans="2:15" ht="12.75" hidden="1">
      <c r="B212" s="43"/>
      <c r="C212" s="43"/>
      <c r="D212" s="43"/>
      <c r="E212" s="43"/>
      <c r="O212" s="31"/>
    </row>
    <row r="213" spans="2:15" ht="12.75" hidden="1">
      <c r="B213" s="43"/>
      <c r="C213" s="43"/>
      <c r="D213" s="43"/>
      <c r="E213" s="43"/>
      <c r="O213" s="31"/>
    </row>
    <row r="214" spans="2:15" ht="12.75" hidden="1">
      <c r="B214" s="43"/>
      <c r="C214" s="43"/>
      <c r="D214" s="43"/>
      <c r="E214" s="43"/>
      <c r="O214" s="31"/>
    </row>
    <row r="215" spans="2:15" ht="12.75" hidden="1">
      <c r="B215" s="43"/>
      <c r="C215" s="43"/>
      <c r="D215" s="43"/>
      <c r="E215" s="43"/>
      <c r="O215" s="31"/>
    </row>
    <row r="216" spans="2:15" ht="12.75" hidden="1">
      <c r="B216" s="43"/>
      <c r="C216" s="43"/>
      <c r="D216" s="43"/>
      <c r="E216" s="43"/>
      <c r="O216" s="31"/>
    </row>
    <row r="217" spans="2:15" ht="12.75" hidden="1">
      <c r="B217" s="43"/>
      <c r="C217" s="43"/>
      <c r="D217" s="43"/>
      <c r="E217" s="43"/>
      <c r="O217" s="31"/>
    </row>
    <row r="218" spans="2:15" ht="12.75" hidden="1">
      <c r="B218" s="43"/>
      <c r="C218" s="43"/>
      <c r="D218" s="43"/>
      <c r="E218" s="43"/>
      <c r="O218" s="31"/>
    </row>
    <row r="219" spans="2:15" ht="12.75" hidden="1">
      <c r="B219" s="43"/>
      <c r="C219" s="43"/>
      <c r="D219" s="43"/>
      <c r="E219" s="43"/>
      <c r="O219" s="31"/>
    </row>
    <row r="220" spans="2:15" ht="12.75" hidden="1">
      <c r="B220" s="43"/>
      <c r="C220" s="43"/>
      <c r="D220" s="43"/>
      <c r="E220" s="43"/>
      <c r="O220" s="31"/>
    </row>
    <row r="221" spans="2:15" ht="12.75" hidden="1">
      <c r="B221" s="43"/>
      <c r="C221" s="43"/>
      <c r="D221" s="43"/>
      <c r="E221" s="43"/>
      <c r="O221" s="31"/>
    </row>
    <row r="222" spans="2:15" ht="12.75" hidden="1">
      <c r="B222" s="43"/>
      <c r="C222" s="43"/>
      <c r="D222" s="43"/>
      <c r="E222" s="43"/>
      <c r="O222" s="31"/>
    </row>
    <row r="223" spans="2:15" ht="12.75" hidden="1">
      <c r="B223" s="43"/>
      <c r="C223" s="43"/>
      <c r="D223" s="43"/>
      <c r="E223" s="43"/>
      <c r="O223" s="31"/>
    </row>
    <row r="224" spans="2:15" ht="12.75" hidden="1">
      <c r="B224" s="43"/>
      <c r="C224" s="43"/>
      <c r="D224" s="43"/>
      <c r="E224" s="43"/>
      <c r="O224" s="31"/>
    </row>
    <row r="225" spans="2:15" ht="12.75" hidden="1">
      <c r="B225" s="43"/>
      <c r="C225" s="43"/>
      <c r="D225" s="43"/>
      <c r="E225" s="43"/>
      <c r="O225" s="31"/>
    </row>
    <row r="226" spans="2:15" ht="12.75" hidden="1">
      <c r="B226" s="43"/>
      <c r="C226" s="43"/>
      <c r="D226" s="43"/>
      <c r="E226" s="43"/>
      <c r="O226" s="31"/>
    </row>
    <row r="227" spans="2:15" ht="12.75" hidden="1">
      <c r="B227" s="43"/>
      <c r="C227" s="43"/>
      <c r="D227" s="43"/>
      <c r="E227" s="43"/>
      <c r="O227" s="31"/>
    </row>
    <row r="228" spans="2:15" ht="12.75" hidden="1">
      <c r="B228" s="43"/>
      <c r="C228" s="43"/>
      <c r="D228" s="43"/>
      <c r="E228" s="43"/>
      <c r="O228" s="31"/>
    </row>
    <row r="229" spans="2:15" ht="12.75" hidden="1">
      <c r="B229" s="43"/>
      <c r="C229" s="43"/>
      <c r="D229" s="43"/>
      <c r="E229" s="43"/>
      <c r="O229" s="31"/>
    </row>
    <row r="230" spans="2:15" ht="12.75" hidden="1">
      <c r="B230" s="43"/>
      <c r="C230" s="43"/>
      <c r="D230" s="43"/>
      <c r="E230" s="43"/>
      <c r="O230" s="31"/>
    </row>
    <row r="231" spans="2:15" ht="12.75" hidden="1">
      <c r="B231" s="43"/>
      <c r="C231" s="43"/>
      <c r="D231" s="43"/>
      <c r="E231" s="43"/>
      <c r="O231" s="31"/>
    </row>
    <row r="232" spans="2:15" ht="12.75" hidden="1">
      <c r="B232" s="43"/>
      <c r="C232" s="43"/>
      <c r="D232" s="43"/>
      <c r="E232" s="43"/>
      <c r="O232" s="31"/>
    </row>
    <row r="233" spans="2:15" ht="12.75" hidden="1">
      <c r="B233" s="43"/>
      <c r="C233" s="43"/>
      <c r="D233" s="43"/>
      <c r="E233" s="43"/>
      <c r="O233" s="31"/>
    </row>
    <row r="234" spans="2:15" ht="12.75" hidden="1">
      <c r="B234" s="43"/>
      <c r="C234" s="43"/>
      <c r="D234" s="43"/>
      <c r="E234" s="43"/>
      <c r="O234" s="31"/>
    </row>
    <row r="235" spans="2:15" ht="12.75" hidden="1">
      <c r="B235" s="43"/>
      <c r="C235" s="43"/>
      <c r="D235" s="43"/>
      <c r="E235" s="43"/>
      <c r="O235" s="31"/>
    </row>
    <row r="236" spans="2:15" ht="12.75" hidden="1">
      <c r="B236" s="43"/>
      <c r="C236" s="43"/>
      <c r="D236" s="43"/>
      <c r="E236" s="43"/>
      <c r="O236" s="31"/>
    </row>
    <row r="237" spans="2:15" ht="12.75" hidden="1">
      <c r="B237" s="43"/>
      <c r="C237" s="43"/>
      <c r="D237" s="43"/>
      <c r="E237" s="43"/>
      <c r="O237" s="31"/>
    </row>
    <row r="238" spans="2:15" ht="12.75" hidden="1">
      <c r="B238" s="43"/>
      <c r="C238" s="43"/>
      <c r="D238" s="43"/>
      <c r="E238" s="43"/>
      <c r="O238" s="31"/>
    </row>
    <row r="239" spans="2:15" ht="12.75" hidden="1">
      <c r="B239" s="43"/>
      <c r="C239" s="43"/>
      <c r="D239" s="43"/>
      <c r="E239" s="43"/>
      <c r="O239" s="31"/>
    </row>
    <row r="240" spans="2:15" ht="12.75" hidden="1">
      <c r="B240" s="43"/>
      <c r="C240" s="43"/>
      <c r="D240" s="43"/>
      <c r="E240" s="43"/>
      <c r="O240" s="31"/>
    </row>
    <row r="241" spans="2:15" ht="12.75" hidden="1">
      <c r="B241" s="43"/>
      <c r="C241" s="43"/>
      <c r="D241" s="43"/>
      <c r="E241" s="43"/>
      <c r="O241" s="31"/>
    </row>
    <row r="242" spans="2:15" ht="12.75" hidden="1">
      <c r="B242" s="43"/>
      <c r="C242" s="43"/>
      <c r="D242" s="43"/>
      <c r="E242" s="43"/>
      <c r="O242" s="31"/>
    </row>
    <row r="243" spans="2:15" ht="12.75" hidden="1">
      <c r="B243" s="43"/>
      <c r="C243" s="43"/>
      <c r="D243" s="43"/>
      <c r="E243" s="43"/>
      <c r="O243" s="31"/>
    </row>
    <row r="244" spans="2:15" ht="12.75" hidden="1">
      <c r="B244" s="43"/>
      <c r="C244" s="43"/>
      <c r="D244" s="43"/>
      <c r="E244" s="43"/>
      <c r="O244" s="31"/>
    </row>
    <row r="245" spans="2:15" ht="12.75" hidden="1">
      <c r="B245" s="43"/>
      <c r="C245" s="43"/>
      <c r="D245" s="43"/>
      <c r="E245" s="43"/>
      <c r="O245" s="31"/>
    </row>
    <row r="246" spans="2:15" ht="12.75" hidden="1">
      <c r="B246" s="43"/>
      <c r="C246" s="43"/>
      <c r="D246" s="43"/>
      <c r="E246" s="43"/>
      <c r="O246" s="31"/>
    </row>
    <row r="247" spans="2:15" ht="12.75" hidden="1">
      <c r="B247" s="43"/>
      <c r="C247" s="43"/>
      <c r="D247" s="43"/>
      <c r="E247" s="43"/>
      <c r="O247" s="31"/>
    </row>
    <row r="248" spans="2:15" ht="12.75" hidden="1">
      <c r="B248" s="43"/>
      <c r="C248" s="43"/>
      <c r="D248" s="43"/>
      <c r="E248" s="43"/>
      <c r="O248" s="31"/>
    </row>
    <row r="249" spans="2:15" ht="12.75" hidden="1">
      <c r="B249" s="43"/>
      <c r="C249" s="43"/>
      <c r="D249" s="43"/>
      <c r="E249" s="43"/>
      <c r="O249" s="31"/>
    </row>
    <row r="250" spans="2:15" ht="12.75" hidden="1">
      <c r="B250" s="43"/>
      <c r="C250" s="43"/>
      <c r="D250" s="43"/>
      <c r="E250" s="43"/>
      <c r="O250" s="31"/>
    </row>
    <row r="251" spans="2:15" ht="12.75" hidden="1">
      <c r="B251" s="43"/>
      <c r="C251" s="43"/>
      <c r="D251" s="43"/>
      <c r="E251" s="43"/>
      <c r="O251" s="31"/>
    </row>
    <row r="252" spans="2:15" ht="12.75" hidden="1">
      <c r="B252" s="43"/>
      <c r="C252" s="43"/>
      <c r="D252" s="43"/>
      <c r="E252" s="43"/>
      <c r="O252" s="31"/>
    </row>
    <row r="253" spans="2:15" ht="12.75" hidden="1">
      <c r="B253" s="43"/>
      <c r="C253" s="43"/>
      <c r="D253" s="43"/>
      <c r="E253" s="43"/>
      <c r="O253" s="31"/>
    </row>
    <row r="254" spans="2:15" ht="12.75" hidden="1">
      <c r="B254" s="43"/>
      <c r="C254" s="43"/>
      <c r="D254" s="43"/>
      <c r="E254" s="43"/>
      <c r="O254" s="31"/>
    </row>
    <row r="255" spans="2:15" ht="12.75" hidden="1">
      <c r="B255" s="43"/>
      <c r="C255" s="43"/>
      <c r="D255" s="43"/>
      <c r="E255" s="43"/>
      <c r="O255" s="31"/>
    </row>
    <row r="256" spans="2:15" ht="12.75" hidden="1">
      <c r="B256" s="43"/>
      <c r="C256" s="43"/>
      <c r="D256" s="43"/>
      <c r="E256" s="43"/>
      <c r="O256" s="31"/>
    </row>
    <row r="257" spans="2:15" ht="12.75" hidden="1">
      <c r="B257" s="43"/>
      <c r="C257" s="43"/>
      <c r="D257" s="43"/>
      <c r="E257" s="43"/>
      <c r="O257" s="31"/>
    </row>
    <row r="258" spans="2:15" ht="12.75" hidden="1">
      <c r="B258" s="43"/>
      <c r="C258" s="43"/>
      <c r="D258" s="43"/>
      <c r="E258" s="43"/>
      <c r="O258" s="31"/>
    </row>
    <row r="259" spans="2:15" ht="12.75" hidden="1">
      <c r="B259" s="43"/>
      <c r="C259" s="43"/>
      <c r="D259" s="43"/>
      <c r="E259" s="43"/>
      <c r="O259" s="31"/>
    </row>
    <row r="260" spans="2:15" ht="12.75" hidden="1">
      <c r="B260" s="43"/>
      <c r="C260" s="43"/>
      <c r="D260" s="43"/>
      <c r="E260" s="43"/>
      <c r="O260" s="31"/>
    </row>
    <row r="261" spans="2:15" ht="12.75" hidden="1">
      <c r="B261" s="43"/>
      <c r="C261" s="43"/>
      <c r="D261" s="43"/>
      <c r="E261" s="43"/>
      <c r="O261" s="31"/>
    </row>
    <row r="262" spans="2:15" ht="12.75" hidden="1">
      <c r="B262" s="43"/>
      <c r="C262" s="43"/>
      <c r="D262" s="43"/>
      <c r="E262" s="43"/>
      <c r="O262" s="31"/>
    </row>
    <row r="263" spans="2:15" ht="12.75" hidden="1">
      <c r="B263" s="43"/>
      <c r="C263" s="43"/>
      <c r="D263" s="43"/>
      <c r="E263" s="43"/>
      <c r="O263" s="31"/>
    </row>
    <row r="264" spans="2:15" ht="12.75" hidden="1">
      <c r="B264" s="43"/>
      <c r="C264" s="43"/>
      <c r="D264" s="43"/>
      <c r="E264" s="43"/>
      <c r="O264" s="31"/>
    </row>
    <row r="265" spans="2:15" ht="12.75" hidden="1">
      <c r="B265" s="43"/>
      <c r="C265" s="43"/>
      <c r="D265" s="43"/>
      <c r="E265" s="43"/>
      <c r="O265" s="31"/>
    </row>
    <row r="266" spans="2:15" ht="12.75" hidden="1">
      <c r="B266" s="43"/>
      <c r="C266" s="43"/>
      <c r="D266" s="43"/>
      <c r="E266" s="43"/>
      <c r="O266" s="31"/>
    </row>
    <row r="267" spans="2:15" ht="12.75" hidden="1">
      <c r="B267" s="43"/>
      <c r="C267" s="43"/>
      <c r="D267" s="43"/>
      <c r="E267" s="43"/>
      <c r="O267" s="31"/>
    </row>
    <row r="268" spans="2:15" ht="12.75" hidden="1">
      <c r="B268" s="43"/>
      <c r="C268" s="43"/>
      <c r="D268" s="43"/>
      <c r="E268" s="43"/>
      <c r="O268" s="31"/>
    </row>
    <row r="269" spans="2:15" ht="12.75" hidden="1">
      <c r="B269" s="43"/>
      <c r="C269" s="43"/>
      <c r="D269" s="43"/>
      <c r="E269" s="43"/>
      <c r="O269" s="31"/>
    </row>
    <row r="270" spans="2:15" ht="12.75" hidden="1">
      <c r="B270" s="43"/>
      <c r="C270" s="43"/>
      <c r="D270" s="43"/>
      <c r="E270" s="43"/>
      <c r="O270" s="31"/>
    </row>
    <row r="271" spans="2:15" ht="12.75" hidden="1">
      <c r="B271" s="43"/>
      <c r="C271" s="43"/>
      <c r="D271" s="43"/>
      <c r="E271" s="43"/>
      <c r="O271" s="31"/>
    </row>
    <row r="272" spans="2:15" ht="12.75" hidden="1">
      <c r="B272" s="43"/>
      <c r="C272" s="43"/>
      <c r="D272" s="43"/>
      <c r="E272" s="43"/>
      <c r="O272" s="31"/>
    </row>
    <row r="273" spans="2:15" ht="12.75" hidden="1">
      <c r="B273" s="43"/>
      <c r="C273" s="43"/>
      <c r="D273" s="43"/>
      <c r="E273" s="43"/>
      <c r="O273" s="31"/>
    </row>
    <row r="274" spans="2:15" ht="12.75" hidden="1">
      <c r="B274" s="43"/>
      <c r="C274" s="43"/>
      <c r="D274" s="43"/>
      <c r="E274" s="43"/>
      <c r="O274" s="31"/>
    </row>
    <row r="275" spans="2:15" ht="12.75" hidden="1">
      <c r="B275" s="43"/>
      <c r="C275" s="43"/>
      <c r="D275" s="43"/>
      <c r="E275" s="43"/>
      <c r="O275" s="31"/>
    </row>
    <row r="276" spans="2:15" ht="12.75" hidden="1">
      <c r="B276" s="43"/>
      <c r="C276" s="43"/>
      <c r="D276" s="43"/>
      <c r="E276" s="43"/>
      <c r="O276" s="31"/>
    </row>
    <row r="277" spans="2:15" ht="12.75" hidden="1">
      <c r="B277" s="43"/>
      <c r="C277" s="43"/>
      <c r="D277" s="43"/>
      <c r="E277" s="43"/>
      <c r="O277" s="31"/>
    </row>
    <row r="278" spans="2:15" ht="12.75" hidden="1">
      <c r="B278" s="43"/>
      <c r="C278" s="43"/>
      <c r="D278" s="43"/>
      <c r="E278" s="43"/>
      <c r="O278" s="31"/>
    </row>
    <row r="279" spans="2:15" ht="12.75" hidden="1">
      <c r="B279" s="43"/>
      <c r="C279" s="43"/>
      <c r="D279" s="43"/>
      <c r="E279" s="43"/>
      <c r="O279" s="31"/>
    </row>
    <row r="280" spans="2:15" ht="12.75" hidden="1">
      <c r="B280" s="43"/>
      <c r="C280" s="43"/>
      <c r="D280" s="43"/>
      <c r="E280" s="43"/>
      <c r="O280" s="31"/>
    </row>
    <row r="281" spans="2:15" ht="12.75" hidden="1">
      <c r="B281" s="43"/>
      <c r="C281" s="43"/>
      <c r="D281" s="43"/>
      <c r="E281" s="43"/>
      <c r="O281" s="31"/>
    </row>
    <row r="282" spans="2:15" ht="12.75" hidden="1">
      <c r="B282" s="43"/>
      <c r="C282" s="43"/>
      <c r="D282" s="43"/>
      <c r="E282" s="43"/>
      <c r="O282" s="31"/>
    </row>
    <row r="283" spans="2:15" ht="12.75" hidden="1">
      <c r="B283" s="43"/>
      <c r="C283" s="43"/>
      <c r="D283" s="43"/>
      <c r="E283" s="43"/>
      <c r="O283" s="31"/>
    </row>
    <row r="284" spans="2:15" ht="12.75" hidden="1">
      <c r="B284" s="43"/>
      <c r="C284" s="43"/>
      <c r="D284" s="43"/>
      <c r="E284" s="43"/>
      <c r="O284" s="31"/>
    </row>
    <row r="285" spans="2:15" ht="12.75" hidden="1">
      <c r="B285" s="43"/>
      <c r="C285" s="43"/>
      <c r="D285" s="43"/>
      <c r="E285" s="43"/>
      <c r="O285" s="31"/>
    </row>
    <row r="286" spans="2:15" ht="12.75" hidden="1">
      <c r="B286" s="43"/>
      <c r="C286" s="43"/>
      <c r="D286" s="43"/>
      <c r="E286" s="43"/>
      <c r="O286" s="31"/>
    </row>
    <row r="287" spans="2:15" ht="12.75" hidden="1">
      <c r="B287" s="43"/>
      <c r="C287" s="43"/>
      <c r="D287" s="43"/>
      <c r="E287" s="43"/>
      <c r="O287" s="31"/>
    </row>
    <row r="288" spans="2:15" ht="12.75" hidden="1">
      <c r="B288" s="43"/>
      <c r="C288" s="43"/>
      <c r="D288" s="43"/>
      <c r="E288" s="43"/>
      <c r="O288" s="31"/>
    </row>
    <row r="289" spans="2:15" ht="12.75" hidden="1">
      <c r="B289" s="43"/>
      <c r="C289" s="43"/>
      <c r="D289" s="43"/>
      <c r="E289" s="43"/>
      <c r="O289" s="31"/>
    </row>
    <row r="290" spans="2:15" ht="12.75" hidden="1">
      <c r="B290" s="43"/>
      <c r="C290" s="43"/>
      <c r="D290" s="43"/>
      <c r="E290" s="43"/>
      <c r="O290" s="31"/>
    </row>
    <row r="291" spans="2:15" ht="12.75" hidden="1">
      <c r="B291" s="43"/>
      <c r="C291" s="43"/>
      <c r="D291" s="43"/>
      <c r="E291" s="43"/>
      <c r="O291" s="31"/>
    </row>
    <row r="292" spans="2:15" ht="12.75" hidden="1">
      <c r="B292" s="43"/>
      <c r="C292" s="43"/>
      <c r="D292" s="43"/>
      <c r="E292" s="43"/>
      <c r="O292" s="31"/>
    </row>
    <row r="293" spans="2:15" ht="12.75" hidden="1">
      <c r="B293" s="43"/>
      <c r="C293" s="43"/>
      <c r="D293" s="43"/>
      <c r="E293" s="43"/>
      <c r="O293" s="31"/>
    </row>
    <row r="294" spans="2:15" ht="12.75" hidden="1">
      <c r="B294" s="43"/>
      <c r="C294" s="43"/>
      <c r="D294" s="43"/>
      <c r="E294" s="43"/>
      <c r="O294" s="31"/>
    </row>
    <row r="295" spans="2:15" ht="12.75" hidden="1">
      <c r="B295" s="43"/>
      <c r="C295" s="43"/>
      <c r="D295" s="43"/>
      <c r="E295" s="43"/>
      <c r="O295" s="31"/>
    </row>
    <row r="296" spans="2:15" ht="12.75" hidden="1">
      <c r="B296" s="43"/>
      <c r="C296" s="43"/>
      <c r="D296" s="43"/>
      <c r="E296" s="43"/>
      <c r="O296" s="31"/>
    </row>
    <row r="297" spans="2:15" ht="12.75" hidden="1">
      <c r="B297" s="43"/>
      <c r="C297" s="43"/>
      <c r="D297" s="43"/>
      <c r="E297" s="43"/>
      <c r="O297" s="31"/>
    </row>
    <row r="298" spans="2:15" ht="12.75" hidden="1">
      <c r="B298" s="43"/>
      <c r="C298" s="43"/>
      <c r="D298" s="43"/>
      <c r="E298" s="43"/>
      <c r="O298" s="31"/>
    </row>
    <row r="299" spans="2:15" ht="12.75" hidden="1">
      <c r="B299" s="43"/>
      <c r="C299" s="43"/>
      <c r="D299" s="43"/>
      <c r="E299" s="43"/>
      <c r="O299" s="31"/>
    </row>
    <row r="300" spans="2:15" ht="12.75" hidden="1">
      <c r="B300" s="43"/>
      <c r="C300" s="43"/>
      <c r="D300" s="43"/>
      <c r="E300" s="43"/>
      <c r="O300" s="31"/>
    </row>
    <row r="301" spans="2:15" ht="12.75" hidden="1">
      <c r="B301" s="43"/>
      <c r="C301" s="43"/>
      <c r="D301" s="43"/>
      <c r="E301" s="43"/>
      <c r="O301" s="31"/>
    </row>
    <row r="302" spans="2:15" ht="12.75" hidden="1">
      <c r="B302" s="43"/>
      <c r="C302" s="43"/>
      <c r="D302" s="43"/>
      <c r="E302" s="43"/>
      <c r="O302" s="31"/>
    </row>
    <row r="303" spans="2:15" ht="12.75" hidden="1">
      <c r="B303" s="43"/>
      <c r="C303" s="43"/>
      <c r="D303" s="43"/>
      <c r="E303" s="43"/>
      <c r="O303" s="31"/>
    </row>
    <row r="304" spans="2:15" ht="12.75" hidden="1">
      <c r="B304" s="43"/>
      <c r="C304" s="43"/>
      <c r="D304" s="43"/>
      <c r="E304" s="43"/>
      <c r="O304" s="31"/>
    </row>
    <row r="305" spans="2:15" ht="12.75" hidden="1">
      <c r="B305" s="43"/>
      <c r="C305" s="43"/>
      <c r="D305" s="43"/>
      <c r="E305" s="43"/>
      <c r="O305" s="31"/>
    </row>
    <row r="306" spans="2:15" ht="12.75" hidden="1">
      <c r="B306" s="43"/>
      <c r="C306" s="43"/>
      <c r="D306" s="43"/>
      <c r="E306" s="43"/>
      <c r="O306" s="31"/>
    </row>
    <row r="307" spans="2:15" ht="12.75" hidden="1">
      <c r="B307" s="43"/>
      <c r="C307" s="43"/>
      <c r="D307" s="43"/>
      <c r="E307" s="43"/>
      <c r="O307" s="31"/>
    </row>
    <row r="308" spans="2:15" ht="12.75" hidden="1">
      <c r="B308" s="43"/>
      <c r="C308" s="43"/>
      <c r="D308" s="43"/>
      <c r="E308" s="43"/>
      <c r="O308" s="31"/>
    </row>
    <row r="309" spans="2:15" ht="12.75" hidden="1">
      <c r="B309" s="43"/>
      <c r="C309" s="43"/>
      <c r="D309" s="43"/>
      <c r="E309" s="43"/>
      <c r="O309" s="31"/>
    </row>
    <row r="310" spans="2:15" ht="12.75" hidden="1">
      <c r="B310" s="43"/>
      <c r="C310" s="43"/>
      <c r="D310" s="43"/>
      <c r="E310" s="43"/>
      <c r="O310" s="31"/>
    </row>
    <row r="311" spans="2:15" ht="12.75" hidden="1">
      <c r="B311" s="43"/>
      <c r="C311" s="43"/>
      <c r="D311" s="43"/>
      <c r="E311" s="43"/>
      <c r="O311" s="31"/>
    </row>
    <row r="312" spans="2:15" ht="12.75" hidden="1">
      <c r="B312" s="43"/>
      <c r="C312" s="43"/>
      <c r="D312" s="43"/>
      <c r="E312" s="43"/>
      <c r="O312" s="31"/>
    </row>
    <row r="313" spans="2:15" ht="12.75" hidden="1">
      <c r="B313" s="43"/>
      <c r="C313" s="43"/>
      <c r="D313" s="43"/>
      <c r="E313" s="43"/>
      <c r="O313" s="31"/>
    </row>
    <row r="314" spans="2:15" ht="12.75" hidden="1">
      <c r="B314" s="43"/>
      <c r="C314" s="43"/>
      <c r="D314" s="43"/>
      <c r="E314" s="43"/>
      <c r="O314" s="31"/>
    </row>
    <row r="315" spans="2:15" ht="12.75" hidden="1">
      <c r="B315" s="43"/>
      <c r="C315" s="43"/>
      <c r="D315" s="43"/>
      <c r="E315" s="43"/>
      <c r="O315" s="31"/>
    </row>
    <row r="316" spans="2:15" ht="12.75" hidden="1">
      <c r="B316" s="43"/>
      <c r="C316" s="43"/>
      <c r="D316" s="43"/>
      <c r="E316" s="43"/>
      <c r="O316" s="31"/>
    </row>
    <row r="317" spans="2:15" ht="12.75" hidden="1">
      <c r="B317" s="43"/>
      <c r="C317" s="43"/>
      <c r="D317" s="43"/>
      <c r="E317" s="43"/>
      <c r="O317" s="31"/>
    </row>
    <row r="318" spans="2:15" ht="12.75" hidden="1">
      <c r="B318" s="43"/>
      <c r="C318" s="43"/>
      <c r="D318" s="43"/>
      <c r="E318" s="43"/>
      <c r="O318" s="31"/>
    </row>
    <row r="319" spans="2:15" ht="12.75" hidden="1">
      <c r="B319" s="43"/>
      <c r="C319" s="43"/>
      <c r="D319" s="43"/>
      <c r="E319" s="43"/>
      <c r="O319" s="31"/>
    </row>
    <row r="320" spans="2:15" ht="12.75" hidden="1">
      <c r="B320" s="43"/>
      <c r="C320" s="43"/>
      <c r="D320" s="43"/>
      <c r="E320" s="43"/>
      <c r="O320" s="31"/>
    </row>
    <row r="321" spans="2:15" ht="12.75" hidden="1">
      <c r="B321" s="43"/>
      <c r="C321" s="43"/>
      <c r="D321" s="43"/>
      <c r="E321" s="43"/>
      <c r="O321" s="31"/>
    </row>
    <row r="322" spans="2:15" ht="12.75" hidden="1">
      <c r="B322" s="43"/>
      <c r="C322" s="43"/>
      <c r="D322" s="43"/>
      <c r="E322" s="43"/>
      <c r="O322" s="31"/>
    </row>
    <row r="323" spans="2:15" ht="12.75" hidden="1">
      <c r="B323" s="43"/>
      <c r="C323" s="43"/>
      <c r="D323" s="43"/>
      <c r="E323" s="43"/>
      <c r="O323" s="31"/>
    </row>
    <row r="324" spans="2:15" ht="12.75" hidden="1">
      <c r="B324" s="43"/>
      <c r="C324" s="43"/>
      <c r="D324" s="43"/>
      <c r="E324" s="43"/>
      <c r="O324" s="31"/>
    </row>
    <row r="325" spans="2:15" ht="12.75" hidden="1">
      <c r="B325" s="43"/>
      <c r="C325" s="43"/>
      <c r="D325" s="43"/>
      <c r="E325" s="43"/>
      <c r="O325" s="31"/>
    </row>
    <row r="326" spans="2:15" ht="12.75" hidden="1">
      <c r="B326" s="43"/>
      <c r="C326" s="43"/>
      <c r="D326" s="43"/>
      <c r="E326" s="43"/>
      <c r="O326" s="31"/>
    </row>
    <row r="327" spans="2:15" ht="12.75" hidden="1">
      <c r="B327" s="43"/>
      <c r="C327" s="43"/>
      <c r="D327" s="43"/>
      <c r="E327" s="43"/>
      <c r="O327" s="31"/>
    </row>
    <row r="328" spans="2:15" ht="12.75" hidden="1">
      <c r="B328" s="43"/>
      <c r="C328" s="43"/>
      <c r="D328" s="43"/>
      <c r="E328" s="43"/>
      <c r="O328" s="31"/>
    </row>
    <row r="329" spans="2:15" ht="12.75" hidden="1">
      <c r="B329" s="43"/>
      <c r="C329" s="43"/>
      <c r="D329" s="43"/>
      <c r="E329" s="43"/>
      <c r="O329" s="31"/>
    </row>
    <row r="330" spans="2:15" ht="12.75" hidden="1">
      <c r="B330" s="43"/>
      <c r="C330" s="43"/>
      <c r="D330" s="43"/>
      <c r="E330" s="43"/>
      <c r="O330" s="31"/>
    </row>
    <row r="331" spans="2:15" ht="12.75" hidden="1">
      <c r="B331" s="43"/>
      <c r="C331" s="43"/>
      <c r="D331" s="43"/>
      <c r="E331" s="43"/>
      <c r="O331" s="31"/>
    </row>
    <row r="332" spans="2:15" ht="12.75" hidden="1">
      <c r="B332" s="43"/>
      <c r="C332" s="43"/>
      <c r="D332" s="43"/>
      <c r="E332" s="43"/>
      <c r="O332" s="31"/>
    </row>
    <row r="333" spans="2:15" ht="12.75" hidden="1">
      <c r="B333" s="43"/>
      <c r="C333" s="43"/>
      <c r="D333" s="43"/>
      <c r="E333" s="43"/>
      <c r="O333" s="31"/>
    </row>
    <row r="334" spans="2:15" ht="12.75" hidden="1">
      <c r="B334" s="43"/>
      <c r="C334" s="43"/>
      <c r="D334" s="43"/>
      <c r="E334" s="43"/>
      <c r="O334" s="31"/>
    </row>
    <row r="335" spans="2:15" ht="12.75" hidden="1">
      <c r="B335" s="43"/>
      <c r="C335" s="43"/>
      <c r="D335" s="43"/>
      <c r="E335" s="43"/>
      <c r="O335" s="31"/>
    </row>
    <row r="336" spans="2:15" ht="12.75" hidden="1">
      <c r="B336" s="43"/>
      <c r="C336" s="43"/>
      <c r="D336" s="43"/>
      <c r="E336" s="43"/>
      <c r="O336" s="31"/>
    </row>
    <row r="337" spans="2:15" ht="12.75" hidden="1">
      <c r="B337" s="43"/>
      <c r="C337" s="43"/>
      <c r="D337" s="43"/>
      <c r="E337" s="43"/>
      <c r="O337" s="31"/>
    </row>
    <row r="338" spans="2:15" ht="12.75" hidden="1">
      <c r="B338" s="43"/>
      <c r="C338" s="43"/>
      <c r="D338" s="43"/>
      <c r="E338" s="43"/>
      <c r="O338" s="31"/>
    </row>
    <row r="339" spans="2:15" ht="12.75" hidden="1">
      <c r="B339" s="43"/>
      <c r="C339" s="43"/>
      <c r="D339" s="43"/>
      <c r="E339" s="43"/>
      <c r="O339" s="31"/>
    </row>
    <row r="340" spans="2:15" ht="12.75" hidden="1">
      <c r="B340" s="43"/>
      <c r="C340" s="43"/>
      <c r="D340" s="43"/>
      <c r="E340" s="43"/>
      <c r="O340" s="31"/>
    </row>
    <row r="341" spans="2:15" ht="12.75" hidden="1">
      <c r="B341" s="43"/>
      <c r="C341" s="43"/>
      <c r="D341" s="43"/>
      <c r="E341" s="43"/>
      <c r="O341" s="31"/>
    </row>
    <row r="342" spans="2:15" ht="12.75" hidden="1">
      <c r="B342" s="43"/>
      <c r="C342" s="43"/>
      <c r="D342" s="43"/>
      <c r="E342" s="43"/>
      <c r="O342" s="31"/>
    </row>
    <row r="343" spans="2:15" ht="12.75" hidden="1">
      <c r="B343" s="43"/>
      <c r="C343" s="43"/>
      <c r="D343" s="43"/>
      <c r="E343" s="43"/>
      <c r="O343" s="31"/>
    </row>
    <row r="344" spans="2:15" ht="12.75" hidden="1">
      <c r="B344" s="43"/>
      <c r="C344" s="43"/>
      <c r="D344" s="43"/>
      <c r="E344" s="43"/>
      <c r="O344" s="31"/>
    </row>
    <row r="345" spans="2:15" ht="12.75" hidden="1">
      <c r="B345" s="43"/>
      <c r="C345" s="43"/>
      <c r="D345" s="43"/>
      <c r="E345" s="43"/>
      <c r="O345" s="31"/>
    </row>
    <row r="346" spans="2:15" ht="12.75" hidden="1">
      <c r="B346" s="43"/>
      <c r="C346" s="43"/>
      <c r="D346" s="43"/>
      <c r="E346" s="43"/>
      <c r="O346" s="31"/>
    </row>
    <row r="347" spans="2:15" ht="12.75" hidden="1">
      <c r="B347" s="43"/>
      <c r="C347" s="43"/>
      <c r="D347" s="43"/>
      <c r="E347" s="43"/>
      <c r="O347" s="31"/>
    </row>
    <row r="348" spans="2:15" ht="12.75" hidden="1">
      <c r="B348" s="43"/>
      <c r="C348" s="43"/>
      <c r="D348" s="43"/>
      <c r="E348" s="43"/>
      <c r="O348" s="31"/>
    </row>
    <row r="349" spans="2:15" ht="12.75" hidden="1">
      <c r="B349" s="43"/>
      <c r="C349" s="43"/>
      <c r="D349" s="43"/>
      <c r="E349" s="43"/>
      <c r="O349" s="31"/>
    </row>
    <row r="350" spans="2:15" ht="12.75" hidden="1">
      <c r="B350" s="43"/>
      <c r="C350" s="43"/>
      <c r="D350" s="43"/>
      <c r="E350" s="43"/>
      <c r="O350" s="31"/>
    </row>
    <row r="351" spans="2:15" ht="12.75" hidden="1">
      <c r="B351" s="43"/>
      <c r="C351" s="43"/>
      <c r="D351" s="43"/>
      <c r="E351" s="43"/>
      <c r="O351" s="31"/>
    </row>
    <row r="352" spans="2:15" ht="12.75" hidden="1">
      <c r="B352" s="43"/>
      <c r="C352" s="43"/>
      <c r="D352" s="43"/>
      <c r="E352" s="43"/>
      <c r="O352" s="31"/>
    </row>
    <row r="353" spans="2:15" ht="12.75" hidden="1">
      <c r="B353" s="43"/>
      <c r="C353" s="43"/>
      <c r="D353" s="43"/>
      <c r="E353" s="43"/>
      <c r="O353" s="31"/>
    </row>
    <row r="354" spans="2:15" ht="12.75" hidden="1">
      <c r="B354" s="43"/>
      <c r="C354" s="43"/>
      <c r="D354" s="43"/>
      <c r="E354" s="43"/>
      <c r="O354" s="31"/>
    </row>
    <row r="355" spans="2:15" ht="12.75" hidden="1">
      <c r="B355" s="43"/>
      <c r="C355" s="43"/>
      <c r="D355" s="43"/>
      <c r="E355" s="43"/>
      <c r="O355" s="31"/>
    </row>
    <row r="356" spans="2:15" ht="12.75" hidden="1">
      <c r="B356" s="43"/>
      <c r="C356" s="43"/>
      <c r="D356" s="43"/>
      <c r="E356" s="43"/>
      <c r="O356" s="31"/>
    </row>
    <row r="357" spans="2:15" ht="12.75" hidden="1">
      <c r="B357" s="43"/>
      <c r="C357" s="43"/>
      <c r="D357" s="43"/>
      <c r="E357" s="43"/>
      <c r="O357" s="31"/>
    </row>
    <row r="358" spans="2:15" ht="12.75" hidden="1">
      <c r="B358" s="43"/>
      <c r="C358" s="43"/>
      <c r="D358" s="43"/>
      <c r="E358" s="43"/>
      <c r="O358" s="31"/>
    </row>
    <row r="359" spans="2:15" ht="12.75" hidden="1">
      <c r="B359" s="43"/>
      <c r="C359" s="43"/>
      <c r="D359" s="43"/>
      <c r="E359" s="43"/>
      <c r="O359" s="31"/>
    </row>
    <row r="360" spans="2:15" ht="12.75" hidden="1">
      <c r="B360" s="43"/>
      <c r="C360" s="43"/>
      <c r="D360" s="43"/>
      <c r="E360" s="43"/>
      <c r="O360" s="31"/>
    </row>
    <row r="361" spans="2:15" ht="12.75" hidden="1">
      <c r="B361" s="43"/>
      <c r="C361" s="43"/>
      <c r="D361" s="43"/>
      <c r="E361" s="43"/>
      <c r="O361" s="31"/>
    </row>
    <row r="362" spans="2:15" ht="12.75" hidden="1">
      <c r="B362" s="43"/>
      <c r="C362" s="43"/>
      <c r="D362" s="43"/>
      <c r="E362" s="43"/>
      <c r="O362" s="31"/>
    </row>
    <row r="363" spans="2:15" ht="12.75" hidden="1">
      <c r="B363" s="43"/>
      <c r="C363" s="43"/>
      <c r="D363" s="43"/>
      <c r="E363" s="43"/>
      <c r="O363" s="31"/>
    </row>
    <row r="364" spans="2:15" ht="12.75" hidden="1">
      <c r="B364" s="43"/>
      <c r="C364" s="43"/>
      <c r="D364" s="43"/>
      <c r="E364" s="43"/>
      <c r="O364" s="31"/>
    </row>
    <row r="365" spans="2:15" ht="12.75" hidden="1">
      <c r="B365" s="43"/>
      <c r="C365" s="43"/>
      <c r="D365" s="43"/>
      <c r="E365" s="43"/>
      <c r="O365" s="31"/>
    </row>
    <row r="366" spans="2:15" ht="12.75" hidden="1">
      <c r="B366" s="43"/>
      <c r="C366" s="43"/>
      <c r="D366" s="43"/>
      <c r="E366" s="43"/>
      <c r="O366" s="31"/>
    </row>
    <row r="367" spans="2:15" ht="12.75" hidden="1">
      <c r="B367" s="43"/>
      <c r="C367" s="43"/>
      <c r="D367" s="43"/>
      <c r="E367" s="43"/>
      <c r="O367" s="31"/>
    </row>
    <row r="368" spans="2:15" ht="12.75" hidden="1">
      <c r="B368" s="43"/>
      <c r="C368" s="43"/>
      <c r="D368" s="43"/>
      <c r="E368" s="43"/>
      <c r="O368" s="31"/>
    </row>
    <row r="369" spans="2:15" ht="12.75" hidden="1">
      <c r="B369" s="43"/>
      <c r="C369" s="43"/>
      <c r="D369" s="43"/>
      <c r="E369" s="43"/>
      <c r="O369" s="31"/>
    </row>
    <row r="370" spans="2:15" ht="12.75" hidden="1">
      <c r="B370" s="43"/>
      <c r="C370" s="43"/>
      <c r="D370" s="43"/>
      <c r="E370" s="43"/>
      <c r="O370" s="31"/>
    </row>
    <row r="371" spans="2:15" ht="12.75" hidden="1">
      <c r="B371" s="43"/>
      <c r="C371" s="43"/>
      <c r="D371" s="43"/>
      <c r="E371" s="43"/>
      <c r="O371" s="31"/>
    </row>
    <row r="372" spans="2:15" ht="12.75" hidden="1">
      <c r="B372" s="43"/>
      <c r="C372" s="43"/>
      <c r="D372" s="43"/>
      <c r="E372" s="43"/>
      <c r="O372" s="31"/>
    </row>
    <row r="373" spans="2:15" ht="12.75" hidden="1">
      <c r="B373" s="43"/>
      <c r="C373" s="43"/>
      <c r="D373" s="43"/>
      <c r="E373" s="43"/>
      <c r="O373" s="31"/>
    </row>
    <row r="374" spans="2:15" ht="12.75" hidden="1">
      <c r="B374" s="43"/>
      <c r="C374" s="43"/>
      <c r="D374" s="43"/>
      <c r="E374" s="43"/>
      <c r="O374" s="31"/>
    </row>
    <row r="375" spans="2:15" ht="12.75" hidden="1">
      <c r="B375" s="43"/>
      <c r="C375" s="43"/>
      <c r="D375" s="43"/>
      <c r="E375" s="43"/>
      <c r="O375" s="31"/>
    </row>
    <row r="376" spans="2:15" ht="12.75" hidden="1">
      <c r="B376" s="43"/>
      <c r="C376" s="43"/>
      <c r="D376" s="43"/>
      <c r="E376" s="43"/>
      <c r="O376" s="31"/>
    </row>
    <row r="377" spans="2:15" ht="12.75" hidden="1">
      <c r="B377" s="43"/>
      <c r="C377" s="43"/>
      <c r="D377" s="43"/>
      <c r="E377" s="43"/>
      <c r="O377" s="31"/>
    </row>
    <row r="378" spans="2:15" ht="12.75" hidden="1">
      <c r="B378" s="43"/>
      <c r="C378" s="43"/>
      <c r="D378" s="43"/>
      <c r="E378" s="43"/>
      <c r="O378" s="31"/>
    </row>
    <row r="379" spans="2:15" ht="12.75" hidden="1">
      <c r="B379" s="43"/>
      <c r="C379" s="43"/>
      <c r="D379" s="43"/>
      <c r="E379" s="43"/>
      <c r="O379" s="31"/>
    </row>
    <row r="380" spans="2:15" ht="12.75" hidden="1">
      <c r="B380" s="43"/>
      <c r="C380" s="43"/>
      <c r="D380" s="43"/>
      <c r="E380" s="43"/>
      <c r="O380" s="31"/>
    </row>
    <row r="381" spans="2:15" ht="12.75" hidden="1">
      <c r="B381" s="43"/>
      <c r="C381" s="43"/>
      <c r="D381" s="43"/>
      <c r="E381" s="43"/>
      <c r="O381" s="31"/>
    </row>
    <row r="382" spans="2:15" ht="12.75" hidden="1">
      <c r="B382" s="43"/>
      <c r="C382" s="43"/>
      <c r="D382" s="43"/>
      <c r="E382" s="43"/>
      <c r="O382" s="31"/>
    </row>
    <row r="383" spans="2:15" ht="12.75" hidden="1">
      <c r="B383" s="43"/>
      <c r="C383" s="43"/>
      <c r="D383" s="43"/>
      <c r="E383" s="43"/>
      <c r="O383" s="31"/>
    </row>
    <row r="384" spans="2:15" ht="12.75" hidden="1">
      <c r="B384" s="43"/>
      <c r="C384" s="43"/>
      <c r="D384" s="43"/>
      <c r="E384" s="43"/>
      <c r="O384" s="31"/>
    </row>
    <row r="385" spans="2:15" ht="12.75" hidden="1">
      <c r="B385" s="43"/>
      <c r="C385" s="43"/>
      <c r="D385" s="43"/>
      <c r="E385" s="43"/>
      <c r="O385" s="31"/>
    </row>
    <row r="386" spans="2:15" ht="12.75" hidden="1">
      <c r="B386" s="43"/>
      <c r="C386" s="43"/>
      <c r="D386" s="43"/>
      <c r="E386" s="43"/>
      <c r="O386" s="31"/>
    </row>
    <row r="387" spans="2:15" ht="12.75" hidden="1">
      <c r="B387" s="43"/>
      <c r="C387" s="43"/>
      <c r="D387" s="43"/>
      <c r="E387" s="43"/>
      <c r="O387" s="31"/>
    </row>
    <row r="388" spans="2:15" ht="12.75" hidden="1">
      <c r="B388" s="43"/>
      <c r="C388" s="43"/>
      <c r="D388" s="43"/>
      <c r="E388" s="43"/>
      <c r="O388" s="31"/>
    </row>
    <row r="389" spans="2:15" ht="12.75" hidden="1">
      <c r="B389" s="43"/>
      <c r="C389" s="43"/>
      <c r="D389" s="43"/>
      <c r="E389" s="43"/>
      <c r="O389" s="31"/>
    </row>
    <row r="390" spans="2:15" ht="12.75" hidden="1">
      <c r="B390" s="43"/>
      <c r="C390" s="43"/>
      <c r="D390" s="43"/>
      <c r="E390" s="43"/>
      <c r="O390" s="31"/>
    </row>
    <row r="391" spans="2:15" ht="12.75" hidden="1">
      <c r="B391" s="43"/>
      <c r="C391" s="43"/>
      <c r="D391" s="43"/>
      <c r="E391" s="43"/>
      <c r="O391" s="31"/>
    </row>
    <row r="392" spans="2:15" ht="12.75" hidden="1">
      <c r="B392" s="43"/>
      <c r="C392" s="43"/>
      <c r="D392" s="43"/>
      <c r="E392" s="43"/>
      <c r="O392" s="31"/>
    </row>
    <row r="393" spans="2:15" ht="12.75" hidden="1">
      <c r="B393" s="43"/>
      <c r="C393" s="43"/>
      <c r="D393" s="43"/>
      <c r="E393" s="43"/>
      <c r="O393" s="31"/>
    </row>
    <row r="394" spans="2:15" ht="12.75" hidden="1">
      <c r="B394" s="43"/>
      <c r="C394" s="43"/>
      <c r="D394" s="43"/>
      <c r="E394" s="43"/>
      <c r="O394" s="31"/>
    </row>
    <row r="395" spans="2:15" ht="12.75" hidden="1">
      <c r="B395" s="43"/>
      <c r="C395" s="43"/>
      <c r="D395" s="43"/>
      <c r="E395" s="43"/>
      <c r="O395" s="31"/>
    </row>
    <row r="396" spans="2:15" ht="12.75" hidden="1">
      <c r="B396" s="43"/>
      <c r="C396" s="43"/>
      <c r="D396" s="43"/>
      <c r="E396" s="43"/>
      <c r="O396" s="31"/>
    </row>
    <row r="397" spans="2:15" ht="12.75" hidden="1">
      <c r="B397" s="43"/>
      <c r="C397" s="43"/>
      <c r="D397" s="43"/>
      <c r="E397" s="43"/>
      <c r="O397" s="31"/>
    </row>
    <row r="398" spans="2:15" ht="12.75" hidden="1">
      <c r="B398" s="43"/>
      <c r="C398" s="43"/>
      <c r="D398" s="43"/>
      <c r="E398" s="43"/>
      <c r="O398" s="31"/>
    </row>
    <row r="399" spans="2:15" ht="12.75" hidden="1">
      <c r="B399" s="43"/>
      <c r="C399" s="43"/>
      <c r="D399" s="43"/>
      <c r="E399" s="43"/>
      <c r="O399" s="31"/>
    </row>
    <row r="400" spans="2:15" ht="12.75" hidden="1">
      <c r="B400" s="43"/>
      <c r="C400" s="43"/>
      <c r="D400" s="43"/>
      <c r="E400" s="43"/>
      <c r="O400" s="31"/>
    </row>
    <row r="401" spans="2:15" ht="12.75" hidden="1">
      <c r="B401" s="43"/>
      <c r="C401" s="43"/>
      <c r="D401" s="43"/>
      <c r="E401" s="43"/>
      <c r="O401" s="31"/>
    </row>
    <row r="402" spans="2:15" ht="12.75" hidden="1">
      <c r="B402" s="43"/>
      <c r="C402" s="43"/>
      <c r="D402" s="43"/>
      <c r="E402" s="43"/>
      <c r="O402" s="31"/>
    </row>
    <row r="403" spans="2:15" ht="12.75" hidden="1">
      <c r="B403" s="43"/>
      <c r="C403" s="43"/>
      <c r="D403" s="43"/>
      <c r="E403" s="43"/>
      <c r="O403" s="31"/>
    </row>
    <row r="404" spans="2:15" ht="12.75" hidden="1">
      <c r="B404" s="43"/>
      <c r="C404" s="43"/>
      <c r="D404" s="43"/>
      <c r="E404" s="43"/>
      <c r="O404" s="31"/>
    </row>
    <row r="405" spans="2:15" ht="12.75" hidden="1">
      <c r="B405" s="43"/>
      <c r="C405" s="43"/>
      <c r="D405" s="43"/>
      <c r="E405" s="43"/>
      <c r="O405" s="31"/>
    </row>
    <row r="406" spans="2:15" ht="12.75" hidden="1">
      <c r="B406" s="43"/>
      <c r="C406" s="43"/>
      <c r="D406" s="43"/>
      <c r="E406" s="43"/>
      <c r="O406" s="31"/>
    </row>
    <row r="407" spans="2:15" ht="12.75" hidden="1">
      <c r="B407" s="43"/>
      <c r="C407" s="43"/>
      <c r="D407" s="43"/>
      <c r="E407" s="43"/>
      <c r="O407" s="31"/>
    </row>
    <row r="408" spans="2:15" ht="12.75" hidden="1">
      <c r="B408" s="43"/>
      <c r="C408" s="43"/>
      <c r="D408" s="43"/>
      <c r="E408" s="43"/>
      <c r="O408" s="31"/>
    </row>
    <row r="409" spans="2:15" ht="12.75" hidden="1">
      <c r="B409" s="43"/>
      <c r="C409" s="43"/>
      <c r="D409" s="43"/>
      <c r="E409" s="43"/>
      <c r="O409" s="31"/>
    </row>
    <row r="410" spans="2:15" ht="12.75" hidden="1">
      <c r="B410" s="43"/>
      <c r="C410" s="43"/>
      <c r="D410" s="43"/>
      <c r="E410" s="43"/>
      <c r="O410" s="31"/>
    </row>
    <row r="411" spans="2:15" ht="12.75" hidden="1">
      <c r="B411" s="43"/>
      <c r="C411" s="43"/>
      <c r="D411" s="43"/>
      <c r="E411" s="43"/>
      <c r="O411" s="31"/>
    </row>
    <row r="412" spans="2:15" ht="12.75" hidden="1">
      <c r="B412" s="43"/>
      <c r="C412" s="43"/>
      <c r="D412" s="43"/>
      <c r="E412" s="43"/>
      <c r="O412" s="31"/>
    </row>
    <row r="413" spans="2:15" ht="12.75" hidden="1">
      <c r="B413" s="43"/>
      <c r="C413" s="43"/>
      <c r="D413" s="43"/>
      <c r="E413" s="43"/>
      <c r="O413" s="31"/>
    </row>
    <row r="414" spans="2:15" ht="12.75" hidden="1">
      <c r="B414" s="43"/>
      <c r="C414" s="43"/>
      <c r="D414" s="43"/>
      <c r="E414" s="43"/>
      <c r="O414" s="31"/>
    </row>
    <row r="415" spans="2:15" ht="12.75" hidden="1">
      <c r="B415" s="43"/>
      <c r="C415" s="43"/>
      <c r="D415" s="43"/>
      <c r="E415" s="43"/>
      <c r="O415" s="31"/>
    </row>
    <row r="416" spans="2:15" ht="12.75" hidden="1">
      <c r="B416" s="43"/>
      <c r="C416" s="43"/>
      <c r="D416" s="43"/>
      <c r="E416" s="43"/>
      <c r="O416" s="31"/>
    </row>
    <row r="417" spans="2:15" ht="12.75" hidden="1">
      <c r="B417" s="43"/>
      <c r="C417" s="43"/>
      <c r="D417" s="43"/>
      <c r="E417" s="43"/>
      <c r="O417" s="31"/>
    </row>
    <row r="418" spans="2:15" ht="12.75" hidden="1">
      <c r="B418" s="43"/>
      <c r="C418" s="43"/>
      <c r="D418" s="43"/>
      <c r="E418" s="43"/>
      <c r="O418" s="31"/>
    </row>
    <row r="419" spans="2:15" ht="12.75" hidden="1">
      <c r="B419" s="43"/>
      <c r="C419" s="43"/>
      <c r="D419" s="43"/>
      <c r="E419" s="43"/>
      <c r="O419" s="31"/>
    </row>
    <row r="420" spans="2:15" ht="12.75" hidden="1">
      <c r="B420" s="43"/>
      <c r="C420" s="43"/>
      <c r="D420" s="43"/>
      <c r="E420" s="43"/>
      <c r="O420" s="31"/>
    </row>
    <row r="421" spans="2:15" ht="12.75" hidden="1">
      <c r="B421" s="43"/>
      <c r="C421" s="43"/>
      <c r="D421" s="43"/>
      <c r="E421" s="43"/>
      <c r="O421" s="31"/>
    </row>
    <row r="422" spans="2:15" ht="12.75" hidden="1">
      <c r="B422" s="43"/>
      <c r="C422" s="43"/>
      <c r="D422" s="43"/>
      <c r="E422" s="43"/>
      <c r="O422" s="31"/>
    </row>
    <row r="423" spans="2:15" ht="12.75" hidden="1">
      <c r="B423" s="43"/>
      <c r="C423" s="43"/>
      <c r="D423" s="43"/>
      <c r="E423" s="43"/>
      <c r="O423" s="31"/>
    </row>
    <row r="424" spans="2:15" ht="12.75" hidden="1">
      <c r="B424" s="43"/>
      <c r="C424" s="43"/>
      <c r="D424" s="43"/>
      <c r="E424" s="43"/>
      <c r="O424" s="31"/>
    </row>
    <row r="425" spans="2:15" ht="12.75" hidden="1">
      <c r="B425" s="43"/>
      <c r="C425" s="43"/>
      <c r="D425" s="43"/>
      <c r="E425" s="43"/>
      <c r="O425" s="31"/>
    </row>
    <row r="426" spans="2:15" ht="12.75" hidden="1">
      <c r="B426" s="43"/>
      <c r="C426" s="43"/>
      <c r="D426" s="43"/>
      <c r="E426" s="43"/>
      <c r="O426" s="31"/>
    </row>
    <row r="427" spans="2:15" ht="12.75" hidden="1">
      <c r="B427" s="43"/>
      <c r="C427" s="43"/>
      <c r="D427" s="43"/>
      <c r="E427" s="43"/>
      <c r="O427" s="31"/>
    </row>
    <row r="428" spans="2:15" ht="12.75" hidden="1">
      <c r="B428" s="43"/>
      <c r="C428" s="43"/>
      <c r="D428" s="43"/>
      <c r="E428" s="43"/>
      <c r="O428" s="31"/>
    </row>
    <row r="429" spans="2:15" ht="12.75" hidden="1">
      <c r="B429" s="43"/>
      <c r="C429" s="43"/>
      <c r="D429" s="43"/>
      <c r="E429" s="43"/>
      <c r="O429" s="31"/>
    </row>
    <row r="430" spans="2:15" ht="12.75" hidden="1">
      <c r="B430" s="43"/>
      <c r="C430" s="43"/>
      <c r="D430" s="43"/>
      <c r="E430" s="43"/>
      <c r="O430" s="31"/>
    </row>
    <row r="431" spans="2:15" ht="12.75" hidden="1">
      <c r="B431" s="43"/>
      <c r="C431" s="43"/>
      <c r="D431" s="43"/>
      <c r="E431" s="43"/>
      <c r="O431" s="31"/>
    </row>
    <row r="432" spans="2:15" ht="12.75" hidden="1">
      <c r="B432" s="43"/>
      <c r="C432" s="43"/>
      <c r="D432" s="43"/>
      <c r="E432" s="43"/>
      <c r="O432" s="31"/>
    </row>
    <row r="433" spans="2:15" ht="12.75" hidden="1">
      <c r="B433" s="43"/>
      <c r="C433" s="43"/>
      <c r="D433" s="43"/>
      <c r="E433" s="43"/>
      <c r="O433" s="31"/>
    </row>
    <row r="434" spans="2:15" ht="12.75" hidden="1">
      <c r="B434" s="43"/>
      <c r="C434" s="43"/>
      <c r="D434" s="43"/>
      <c r="E434" s="43"/>
      <c r="O434" s="31"/>
    </row>
    <row r="435" spans="2:15" ht="12.75" hidden="1">
      <c r="B435" s="43"/>
      <c r="C435" s="43"/>
      <c r="D435" s="43"/>
      <c r="E435" s="43"/>
      <c r="O435" s="31"/>
    </row>
    <row r="436" spans="2:15" ht="12.75" hidden="1">
      <c r="B436" s="43"/>
      <c r="C436" s="43"/>
      <c r="D436" s="43"/>
      <c r="E436" s="43"/>
      <c r="O436" s="31"/>
    </row>
    <row r="437" spans="2:15" ht="12.75" hidden="1">
      <c r="B437" s="43"/>
      <c r="C437" s="43"/>
      <c r="D437" s="43"/>
      <c r="E437" s="43"/>
      <c r="O437" s="31"/>
    </row>
    <row r="438" spans="2:15" ht="12.75" hidden="1">
      <c r="B438" s="43"/>
      <c r="C438" s="43"/>
      <c r="D438" s="43"/>
      <c r="E438" s="43"/>
      <c r="O438" s="31"/>
    </row>
    <row r="439" spans="2:15" ht="12.75" hidden="1">
      <c r="B439" s="43"/>
      <c r="C439" s="43"/>
      <c r="D439" s="43"/>
      <c r="E439" s="43"/>
      <c r="O439" s="31"/>
    </row>
    <row r="440" spans="2:15" ht="12.75" hidden="1">
      <c r="B440" s="43"/>
      <c r="C440" s="43"/>
      <c r="D440" s="43"/>
      <c r="E440" s="43"/>
      <c r="O440" s="31"/>
    </row>
    <row r="441" spans="2:15" ht="12.75" hidden="1">
      <c r="B441" s="43"/>
      <c r="C441" s="43"/>
      <c r="D441" s="43"/>
      <c r="E441" s="43"/>
      <c r="O441" s="31"/>
    </row>
    <row r="442" spans="2:15" ht="12.75" hidden="1">
      <c r="B442" s="43"/>
      <c r="C442" s="43"/>
      <c r="D442" s="43"/>
      <c r="E442" s="43"/>
      <c r="O442" s="31"/>
    </row>
    <row r="443" spans="2:15" ht="12.75" hidden="1">
      <c r="B443" s="43"/>
      <c r="C443" s="43"/>
      <c r="D443" s="43"/>
      <c r="E443" s="43"/>
      <c r="O443" s="31"/>
    </row>
    <row r="444" spans="2:15" ht="12.75" hidden="1">
      <c r="B444" s="43"/>
      <c r="C444" s="43"/>
      <c r="D444" s="43"/>
      <c r="E444" s="43"/>
      <c r="O444" s="31"/>
    </row>
    <row r="445" spans="2:15" ht="12.75" hidden="1">
      <c r="B445" s="43"/>
      <c r="C445" s="43"/>
      <c r="D445" s="43"/>
      <c r="E445" s="43"/>
      <c r="O445" s="31"/>
    </row>
    <row r="446" spans="2:15" ht="12.75" hidden="1">
      <c r="B446" s="43"/>
      <c r="C446" s="43"/>
      <c r="D446" s="43"/>
      <c r="E446" s="43"/>
      <c r="O446" s="31"/>
    </row>
    <row r="447" spans="2:15" ht="12.75" hidden="1">
      <c r="B447" s="43"/>
      <c r="C447" s="43"/>
      <c r="D447" s="43"/>
      <c r="E447" s="43"/>
      <c r="O447" s="31"/>
    </row>
    <row r="448" spans="2:15" ht="12.75" hidden="1">
      <c r="B448" s="43"/>
      <c r="C448" s="43"/>
      <c r="D448" s="43"/>
      <c r="E448" s="43"/>
      <c r="O448" s="31"/>
    </row>
    <row r="449" spans="2:15" ht="12.75" hidden="1">
      <c r="B449" s="43"/>
      <c r="C449" s="43"/>
      <c r="D449" s="43"/>
      <c r="E449" s="43"/>
      <c r="O449" s="31"/>
    </row>
    <row r="450" spans="2:15" ht="12.75" hidden="1">
      <c r="B450" s="43"/>
      <c r="C450" s="43"/>
      <c r="D450" s="43"/>
      <c r="E450" s="43"/>
      <c r="O450" s="31"/>
    </row>
    <row r="451" spans="2:15" ht="12.75" hidden="1">
      <c r="B451" s="43"/>
      <c r="C451" s="43"/>
      <c r="D451" s="43"/>
      <c r="E451" s="43"/>
      <c r="O451" s="31"/>
    </row>
    <row r="452" spans="2:15" ht="12.75" hidden="1">
      <c r="B452" s="43"/>
      <c r="C452" s="43"/>
      <c r="D452" s="43"/>
      <c r="E452" s="43"/>
      <c r="O452" s="31"/>
    </row>
    <row r="453" spans="2:15" ht="12.75" hidden="1">
      <c r="B453" s="43"/>
      <c r="C453" s="43"/>
      <c r="D453" s="43"/>
      <c r="E453" s="43"/>
      <c r="O453" s="31"/>
    </row>
    <row r="454" spans="2:15" ht="12.75" hidden="1">
      <c r="B454" s="43"/>
      <c r="C454" s="43"/>
      <c r="D454" s="43"/>
      <c r="E454" s="43"/>
      <c r="O454" s="31"/>
    </row>
    <row r="455" spans="2:15" ht="12.75" hidden="1">
      <c r="B455" s="43"/>
      <c r="C455" s="43"/>
      <c r="D455" s="43"/>
      <c r="E455" s="43"/>
      <c r="O455" s="31"/>
    </row>
    <row r="456" spans="2:15" ht="12.75" hidden="1">
      <c r="B456" s="43"/>
      <c r="C456" s="43"/>
      <c r="D456" s="43"/>
      <c r="E456" s="43"/>
      <c r="O456" s="31"/>
    </row>
    <row r="457" spans="2:15" ht="12.75" hidden="1">
      <c r="B457" s="43"/>
      <c r="C457" s="43"/>
      <c r="D457" s="43"/>
      <c r="E457" s="43"/>
      <c r="O457" s="31"/>
    </row>
    <row r="458" spans="2:15" ht="12.75" hidden="1">
      <c r="B458" s="43"/>
      <c r="C458" s="43"/>
      <c r="D458" s="43"/>
      <c r="E458" s="43"/>
      <c r="O458" s="31"/>
    </row>
    <row r="459" spans="2:15" ht="12.75" hidden="1">
      <c r="B459" s="43"/>
      <c r="C459" s="43"/>
      <c r="D459" s="43"/>
      <c r="E459" s="43"/>
      <c r="O459" s="31"/>
    </row>
    <row r="460" spans="2:15" ht="12.75" hidden="1">
      <c r="B460" s="43"/>
      <c r="C460" s="43"/>
      <c r="D460" s="43"/>
      <c r="E460" s="43"/>
      <c r="O460" s="31"/>
    </row>
    <row r="461" spans="2:15" ht="12.75" hidden="1">
      <c r="B461" s="43"/>
      <c r="C461" s="43"/>
      <c r="D461" s="43"/>
      <c r="E461" s="43"/>
      <c r="O461" s="31"/>
    </row>
    <row r="462" spans="2:15" ht="12.75" hidden="1">
      <c r="B462" s="43"/>
      <c r="C462" s="43"/>
      <c r="D462" s="43"/>
      <c r="E462" s="43"/>
      <c r="O462" s="31"/>
    </row>
    <row r="463" spans="2:15" ht="12.75" hidden="1">
      <c r="B463" s="43"/>
      <c r="C463" s="43"/>
      <c r="D463" s="43"/>
      <c r="E463" s="43"/>
      <c r="O463" s="31"/>
    </row>
    <row r="464" spans="2:15" ht="12.75" hidden="1">
      <c r="B464" s="43"/>
      <c r="C464" s="43"/>
      <c r="D464" s="43"/>
      <c r="E464" s="43"/>
      <c r="O464" s="31"/>
    </row>
    <row r="465" spans="2:15" ht="12.75" hidden="1">
      <c r="B465" s="43"/>
      <c r="C465" s="43"/>
      <c r="D465" s="43"/>
      <c r="E465" s="43"/>
      <c r="O465" s="31"/>
    </row>
    <row r="466" spans="2:15" ht="12.75" hidden="1">
      <c r="B466" s="43"/>
      <c r="C466" s="43"/>
      <c r="D466" s="43"/>
      <c r="E466" s="43"/>
      <c r="O466" s="31"/>
    </row>
    <row r="467" spans="2:15" ht="12.75" hidden="1">
      <c r="B467" s="43"/>
      <c r="C467" s="43"/>
      <c r="D467" s="43"/>
      <c r="E467" s="43"/>
      <c r="O467" s="31"/>
    </row>
    <row r="468" spans="2:15" ht="12.75" hidden="1">
      <c r="B468" s="43"/>
      <c r="C468" s="43"/>
      <c r="D468" s="43"/>
      <c r="E468" s="43"/>
      <c r="O468" s="31"/>
    </row>
    <row r="469" spans="2:15" ht="12.75" hidden="1">
      <c r="B469" s="43"/>
      <c r="C469" s="43"/>
      <c r="D469" s="43"/>
      <c r="E469" s="43"/>
      <c r="O469" s="31"/>
    </row>
    <row r="470" spans="2:15" ht="12.75" hidden="1">
      <c r="B470" s="43"/>
      <c r="C470" s="43"/>
      <c r="D470" s="43"/>
      <c r="E470" s="43"/>
      <c r="O470" s="31"/>
    </row>
    <row r="471" spans="2:15" ht="12.75" hidden="1">
      <c r="B471" s="43"/>
      <c r="C471" s="43"/>
      <c r="D471" s="43"/>
      <c r="E471" s="43"/>
      <c r="O471" s="31"/>
    </row>
    <row r="472" spans="2:15" ht="12.75" hidden="1">
      <c r="B472" s="43"/>
      <c r="C472" s="43"/>
      <c r="D472" s="43"/>
      <c r="E472" s="43"/>
      <c r="O472" s="31"/>
    </row>
    <row r="473" spans="2:15" ht="12.75" hidden="1">
      <c r="B473" s="43"/>
      <c r="C473" s="43"/>
      <c r="D473" s="43"/>
      <c r="E473" s="43"/>
      <c r="O473" s="31"/>
    </row>
    <row r="474" spans="2:15" ht="12.75" hidden="1">
      <c r="B474" s="43"/>
      <c r="C474" s="43"/>
      <c r="D474" s="43"/>
      <c r="E474" s="43"/>
      <c r="O474" s="31"/>
    </row>
    <row r="475" spans="2:15" ht="12.75" hidden="1">
      <c r="B475" s="43"/>
      <c r="C475" s="43"/>
      <c r="D475" s="43"/>
      <c r="E475" s="43"/>
      <c r="O475" s="31"/>
    </row>
    <row r="476" spans="2:15" ht="12.75" hidden="1">
      <c r="B476" s="43"/>
      <c r="C476" s="43"/>
      <c r="D476" s="43"/>
      <c r="E476" s="43"/>
      <c r="O476" s="31"/>
    </row>
    <row r="477" spans="2:15" ht="12.75" hidden="1">
      <c r="B477" s="43"/>
      <c r="C477" s="43"/>
      <c r="D477" s="43"/>
      <c r="E477" s="43"/>
      <c r="O477" s="31"/>
    </row>
    <row r="478" spans="2:15" ht="12.75" hidden="1">
      <c r="B478" s="43"/>
      <c r="C478" s="43"/>
      <c r="D478" s="43"/>
      <c r="E478" s="43"/>
      <c r="O478" s="31"/>
    </row>
    <row r="479" spans="2:15" ht="12.75" hidden="1">
      <c r="B479" s="43"/>
      <c r="C479" s="43"/>
      <c r="D479" s="43"/>
      <c r="E479" s="43"/>
      <c r="O479" s="31"/>
    </row>
    <row r="480" spans="2:15" ht="12.75" hidden="1">
      <c r="B480" s="43"/>
      <c r="C480" s="43"/>
      <c r="D480" s="43"/>
      <c r="E480" s="43"/>
      <c r="O480" s="31"/>
    </row>
    <row r="481" spans="2:15" ht="12.75" hidden="1">
      <c r="B481" s="43"/>
      <c r="C481" s="43"/>
      <c r="D481" s="43"/>
      <c r="E481" s="43"/>
      <c r="O481" s="31"/>
    </row>
    <row r="482" spans="2:15" ht="12.75" hidden="1">
      <c r="B482" s="43"/>
      <c r="C482" s="43"/>
      <c r="D482" s="43"/>
      <c r="E482" s="43"/>
      <c r="O482" s="31"/>
    </row>
    <row r="483" spans="2:15" ht="12.75" hidden="1">
      <c r="B483" s="43"/>
      <c r="C483" s="43"/>
      <c r="D483" s="43"/>
      <c r="E483" s="43"/>
      <c r="O483" s="31"/>
    </row>
    <row r="484" spans="2:15" ht="12.75" hidden="1">
      <c r="B484" s="43"/>
      <c r="C484" s="43"/>
      <c r="D484" s="43"/>
      <c r="E484" s="43"/>
      <c r="O484" s="31"/>
    </row>
    <row r="485" spans="2:15" ht="12.75" hidden="1">
      <c r="B485" s="43"/>
      <c r="C485" s="43"/>
      <c r="D485" s="43"/>
      <c r="E485" s="43"/>
      <c r="O485" s="31"/>
    </row>
    <row r="486" spans="2:15" ht="12.75" hidden="1">
      <c r="B486" s="43"/>
      <c r="C486" s="43"/>
      <c r="D486" s="43"/>
      <c r="E486" s="43"/>
      <c r="O486" s="31"/>
    </row>
    <row r="487" spans="2:15" ht="12.75" hidden="1">
      <c r="B487" s="43"/>
      <c r="C487" s="43"/>
      <c r="D487" s="43"/>
      <c r="E487" s="43"/>
      <c r="O487" s="31"/>
    </row>
    <row r="488" spans="2:15" ht="12.75" hidden="1">
      <c r="B488" s="43"/>
      <c r="C488" s="43"/>
      <c r="D488" s="43"/>
      <c r="E488" s="43"/>
      <c r="O488" s="31"/>
    </row>
    <row r="489" spans="2:15" ht="12.75" hidden="1">
      <c r="B489" s="43"/>
      <c r="C489" s="43"/>
      <c r="D489" s="43"/>
      <c r="E489" s="43"/>
      <c r="O489" s="31"/>
    </row>
    <row r="490" spans="2:15" ht="12.75" hidden="1">
      <c r="B490" s="43"/>
      <c r="C490" s="43"/>
      <c r="D490" s="43"/>
      <c r="E490" s="43"/>
      <c r="O490" s="31"/>
    </row>
    <row r="491" spans="2:15" ht="12.75" hidden="1">
      <c r="B491" s="43"/>
      <c r="C491" s="43"/>
      <c r="D491" s="43"/>
      <c r="E491" s="43"/>
      <c r="O491" s="31"/>
    </row>
    <row r="492" spans="2:15" ht="12.75" hidden="1">
      <c r="B492" s="43"/>
      <c r="C492" s="43"/>
      <c r="D492" s="43"/>
      <c r="E492" s="43"/>
      <c r="O492" s="31"/>
    </row>
    <row r="493" spans="2:15" ht="12.75" hidden="1">
      <c r="B493" s="43"/>
      <c r="C493" s="43"/>
      <c r="D493" s="43"/>
      <c r="E493" s="43"/>
      <c r="O493" s="31"/>
    </row>
    <row r="494" spans="2:15" ht="12.75" hidden="1">
      <c r="B494" s="43"/>
      <c r="C494" s="43"/>
      <c r="D494" s="43"/>
      <c r="E494" s="43"/>
      <c r="O494" s="31"/>
    </row>
    <row r="495" spans="2:15" ht="12.75" hidden="1">
      <c r="B495" s="43"/>
      <c r="C495" s="43"/>
      <c r="D495" s="43"/>
      <c r="E495" s="43"/>
      <c r="O495" s="31"/>
    </row>
    <row r="496" spans="2:15" ht="12.75" hidden="1">
      <c r="B496" s="43"/>
      <c r="C496" s="43"/>
      <c r="D496" s="43"/>
      <c r="E496" s="43"/>
      <c r="O496" s="31"/>
    </row>
    <row r="497" spans="2:15" ht="12.75" hidden="1">
      <c r="B497" s="43"/>
      <c r="C497" s="43"/>
      <c r="D497" s="43"/>
      <c r="E497" s="43"/>
      <c r="O497" s="31"/>
    </row>
    <row r="498" spans="2:15" ht="12.75" hidden="1">
      <c r="B498" s="43"/>
      <c r="C498" s="43"/>
      <c r="D498" s="43"/>
      <c r="E498" s="43"/>
      <c r="O498" s="31"/>
    </row>
    <row r="499" spans="2:15" ht="12.75" hidden="1">
      <c r="B499" s="43"/>
      <c r="C499" s="43"/>
      <c r="D499" s="43"/>
      <c r="E499" s="43"/>
      <c r="O499" s="31"/>
    </row>
    <row r="500" spans="2:15" ht="12.75" hidden="1">
      <c r="B500" s="43"/>
      <c r="C500" s="43"/>
      <c r="D500" s="43"/>
      <c r="E500" s="43"/>
      <c r="O500" s="31"/>
    </row>
    <row r="501" spans="2:15" ht="12.75" hidden="1">
      <c r="B501" s="43"/>
      <c r="C501" s="43"/>
      <c r="D501" s="43"/>
      <c r="E501" s="43"/>
      <c r="O501" s="31"/>
    </row>
    <row r="502" spans="2:15" ht="12.75" hidden="1">
      <c r="B502" s="43"/>
      <c r="C502" s="43"/>
      <c r="D502" s="43"/>
      <c r="E502" s="43"/>
      <c r="O502" s="31"/>
    </row>
    <row r="503" spans="2:15" ht="12.75" hidden="1">
      <c r="B503" s="43"/>
      <c r="C503" s="43"/>
      <c r="D503" s="43"/>
      <c r="E503" s="43"/>
      <c r="O503" s="31"/>
    </row>
    <row r="504" spans="2:15" ht="12.75" hidden="1">
      <c r="B504" s="43"/>
      <c r="C504" s="43"/>
      <c r="D504" s="43"/>
      <c r="E504" s="43"/>
      <c r="O504" s="31"/>
    </row>
    <row r="505" spans="2:15" ht="12.75" hidden="1">
      <c r="B505" s="43"/>
      <c r="C505" s="43"/>
      <c r="D505" s="43"/>
      <c r="E505" s="43"/>
      <c r="O505" s="31"/>
    </row>
    <row r="506" spans="2:15" ht="12.75" hidden="1">
      <c r="B506" s="43"/>
      <c r="C506" s="43"/>
      <c r="D506" s="43"/>
      <c r="E506" s="43"/>
      <c r="O506" s="31"/>
    </row>
    <row r="507" spans="2:15" ht="12.75" hidden="1">
      <c r="B507" s="43"/>
      <c r="C507" s="43"/>
      <c r="D507" s="43"/>
      <c r="E507" s="43"/>
      <c r="O507" s="31"/>
    </row>
    <row r="508" spans="2:15" ht="12.75" hidden="1">
      <c r="B508" s="43"/>
      <c r="C508" s="43"/>
      <c r="D508" s="43"/>
      <c r="E508" s="43"/>
      <c r="O508" s="31"/>
    </row>
    <row r="509" spans="2:15" ht="12.75" hidden="1">
      <c r="B509" s="43"/>
      <c r="C509" s="43"/>
      <c r="D509" s="43"/>
      <c r="E509" s="43"/>
      <c r="O509" s="31"/>
    </row>
    <row r="510" spans="2:15" ht="12.75" hidden="1">
      <c r="B510" s="43"/>
      <c r="C510" s="43"/>
      <c r="D510" s="43"/>
      <c r="E510" s="43"/>
      <c r="O510" s="31"/>
    </row>
    <row r="511" spans="2:15" ht="12.75" hidden="1">
      <c r="B511" s="43"/>
      <c r="C511" s="43"/>
      <c r="D511" s="43"/>
      <c r="E511" s="43"/>
      <c r="O511" s="31"/>
    </row>
    <row r="512" spans="2:15" ht="12.75" hidden="1">
      <c r="B512" s="43"/>
      <c r="C512" s="43"/>
      <c r="D512" s="43"/>
      <c r="E512" s="43"/>
      <c r="O512" s="31"/>
    </row>
    <row r="513" spans="2:15" ht="12.75" hidden="1">
      <c r="B513" s="43"/>
      <c r="C513" s="43"/>
      <c r="D513" s="43"/>
      <c r="E513" s="43"/>
      <c r="O513" s="31"/>
    </row>
    <row r="514" spans="2:15" ht="12.75" hidden="1">
      <c r="B514" s="43"/>
      <c r="C514" s="43"/>
      <c r="D514" s="43"/>
      <c r="E514" s="43"/>
      <c r="O514" s="31"/>
    </row>
    <row r="515" spans="2:15" ht="12.75" hidden="1">
      <c r="B515" s="43"/>
      <c r="C515" s="43"/>
      <c r="D515" s="43"/>
      <c r="E515" s="43"/>
      <c r="O515" s="31"/>
    </row>
    <row r="516" spans="2:15" ht="12.75" hidden="1">
      <c r="B516" s="43"/>
      <c r="C516" s="43"/>
      <c r="D516" s="43"/>
      <c r="E516" s="43"/>
      <c r="O516" s="31"/>
    </row>
    <row r="517" spans="2:15" ht="12.75" hidden="1">
      <c r="B517" s="43"/>
      <c r="C517" s="43"/>
      <c r="D517" s="43"/>
      <c r="E517" s="43"/>
      <c r="O517" s="31"/>
    </row>
    <row r="518" spans="2:15" ht="12.75" hidden="1">
      <c r="B518" s="43"/>
      <c r="C518" s="43"/>
      <c r="D518" s="43"/>
      <c r="E518" s="43"/>
      <c r="O518" s="31"/>
    </row>
    <row r="519" spans="2:15" ht="12.75" hidden="1">
      <c r="B519" s="43"/>
      <c r="C519" s="43"/>
      <c r="D519" s="43"/>
      <c r="E519" s="43"/>
      <c r="O519" s="31"/>
    </row>
    <row r="520" spans="2:15" ht="12.75" hidden="1">
      <c r="B520" s="43"/>
      <c r="C520" s="43"/>
      <c r="D520" s="43"/>
      <c r="E520" s="43"/>
      <c r="O520" s="31"/>
    </row>
    <row r="521" spans="2:15" ht="12.75" hidden="1">
      <c r="B521" s="43"/>
      <c r="C521" s="43"/>
      <c r="D521" s="43"/>
      <c r="E521" s="43"/>
      <c r="O521" s="31"/>
    </row>
    <row r="522" spans="2:15" ht="12.75" hidden="1">
      <c r="B522" s="43"/>
      <c r="C522" s="43"/>
      <c r="D522" s="43"/>
      <c r="E522" s="43"/>
      <c r="O522" s="31"/>
    </row>
    <row r="523" spans="2:15" ht="12.75" hidden="1">
      <c r="B523" s="43"/>
      <c r="C523" s="43"/>
      <c r="D523" s="43"/>
      <c r="E523" s="43"/>
      <c r="O523" s="31"/>
    </row>
    <row r="524" spans="2:15" ht="12.75" hidden="1">
      <c r="B524" s="43"/>
      <c r="C524" s="43"/>
      <c r="D524" s="43"/>
      <c r="E524" s="43"/>
      <c r="O524" s="31"/>
    </row>
    <row r="525" spans="2:15" ht="12.75" hidden="1">
      <c r="B525" s="43"/>
      <c r="C525" s="43"/>
      <c r="D525" s="43"/>
      <c r="E525" s="43"/>
      <c r="O525" s="31"/>
    </row>
    <row r="526" spans="2:15" ht="12.75" hidden="1">
      <c r="B526" s="43"/>
      <c r="C526" s="43"/>
      <c r="D526" s="43"/>
      <c r="E526" s="43"/>
      <c r="O526" s="31"/>
    </row>
    <row r="527" spans="2:15" ht="12.75" hidden="1">
      <c r="B527" s="43"/>
      <c r="C527" s="43"/>
      <c r="D527" s="43"/>
      <c r="E527" s="43"/>
      <c r="O527" s="31"/>
    </row>
    <row r="528" spans="2:15" ht="12.75" hidden="1">
      <c r="B528" s="43"/>
      <c r="C528" s="43"/>
      <c r="D528" s="43"/>
      <c r="E528" s="43"/>
      <c r="O528" s="31"/>
    </row>
    <row r="529" spans="2:15" ht="12.75" hidden="1">
      <c r="B529" s="43"/>
      <c r="C529" s="43"/>
      <c r="D529" s="43"/>
      <c r="E529" s="43"/>
      <c r="O529" s="31"/>
    </row>
    <row r="530" spans="2:15" ht="12.75" hidden="1">
      <c r="B530" s="43"/>
      <c r="C530" s="43"/>
      <c r="D530" s="43"/>
      <c r="E530" s="43"/>
      <c r="O530" s="31"/>
    </row>
    <row r="531" spans="2:15" ht="12.75" hidden="1">
      <c r="B531" s="43"/>
      <c r="C531" s="43"/>
      <c r="D531" s="43"/>
      <c r="E531" s="43"/>
      <c r="O531" s="31"/>
    </row>
    <row r="532" spans="2:15" ht="12.75" hidden="1">
      <c r="B532" s="43"/>
      <c r="C532" s="43"/>
      <c r="D532" s="43"/>
      <c r="E532" s="43"/>
      <c r="O532" s="31"/>
    </row>
    <row r="533" spans="2:15" ht="12.75" hidden="1">
      <c r="B533" s="43"/>
      <c r="C533" s="43"/>
      <c r="D533" s="43"/>
      <c r="E533" s="43"/>
      <c r="O533" s="31"/>
    </row>
    <row r="534" spans="2:15" ht="12.75" hidden="1">
      <c r="B534" s="43"/>
      <c r="C534" s="43"/>
      <c r="D534" s="43"/>
      <c r="E534" s="43"/>
      <c r="O534" s="31"/>
    </row>
    <row r="535" spans="2:15" ht="12.75" hidden="1">
      <c r="B535" s="43"/>
      <c r="C535" s="43"/>
      <c r="D535" s="43"/>
      <c r="E535" s="43"/>
      <c r="O535" s="31"/>
    </row>
    <row r="536" spans="2:15" ht="12.75" hidden="1">
      <c r="B536" s="43"/>
      <c r="C536" s="43"/>
      <c r="D536" s="43"/>
      <c r="E536" s="43"/>
      <c r="O536" s="31"/>
    </row>
    <row r="537" spans="2:15" ht="12.75" hidden="1">
      <c r="B537" s="43"/>
      <c r="C537" s="43"/>
      <c r="D537" s="43"/>
      <c r="E537" s="43"/>
      <c r="O537" s="31"/>
    </row>
    <row r="538" spans="2:15" ht="12.75" hidden="1">
      <c r="B538" s="43"/>
      <c r="C538" s="43"/>
      <c r="D538" s="43"/>
      <c r="E538" s="43"/>
      <c r="O538" s="31"/>
    </row>
    <row r="539" spans="2:15" ht="12.75" hidden="1">
      <c r="B539" s="43"/>
      <c r="C539" s="43"/>
      <c r="D539" s="43"/>
      <c r="E539" s="43"/>
      <c r="O539" s="31"/>
    </row>
    <row r="540" spans="2:15" ht="12.75" hidden="1">
      <c r="B540" s="43"/>
      <c r="C540" s="43"/>
      <c r="D540" s="43"/>
      <c r="E540" s="43"/>
      <c r="O540" s="31"/>
    </row>
    <row r="541" spans="2:15" ht="12.75" hidden="1">
      <c r="B541" s="43"/>
      <c r="C541" s="43"/>
      <c r="D541" s="43"/>
      <c r="E541" s="43"/>
      <c r="O541" s="31"/>
    </row>
    <row r="542" spans="2:15" ht="12.75" hidden="1">
      <c r="B542" s="43"/>
      <c r="C542" s="43"/>
      <c r="D542" s="43"/>
      <c r="E542" s="43"/>
      <c r="O542" s="31"/>
    </row>
    <row r="543" spans="2:15" ht="12.75" hidden="1">
      <c r="B543" s="43"/>
      <c r="C543" s="43"/>
      <c r="D543" s="43"/>
      <c r="E543" s="43"/>
      <c r="O543" s="31"/>
    </row>
    <row r="544" spans="2:15" ht="12.75" hidden="1">
      <c r="B544" s="43"/>
      <c r="C544" s="43"/>
      <c r="D544" s="43"/>
      <c r="E544" s="43"/>
      <c r="O544" s="31"/>
    </row>
    <row r="545" spans="2:15" ht="12.75" hidden="1">
      <c r="B545" s="43"/>
      <c r="C545" s="43"/>
      <c r="D545" s="43"/>
      <c r="E545" s="43"/>
      <c r="O545" s="31"/>
    </row>
    <row r="546" spans="2:15" ht="12.75" hidden="1">
      <c r="B546" s="43"/>
      <c r="C546" s="43"/>
      <c r="D546" s="43"/>
      <c r="E546" s="43"/>
      <c r="O546" s="31"/>
    </row>
    <row r="547" spans="2:15" ht="12.75" hidden="1">
      <c r="B547" s="43"/>
      <c r="C547" s="43"/>
      <c r="D547" s="43"/>
      <c r="E547" s="43"/>
      <c r="O547" s="31"/>
    </row>
    <row r="548" spans="2:15" ht="12.75" hidden="1">
      <c r="B548" s="43"/>
      <c r="C548" s="43"/>
      <c r="D548" s="43"/>
      <c r="E548" s="43"/>
      <c r="O548" s="31"/>
    </row>
    <row r="549" spans="2:15" ht="12.75" hidden="1">
      <c r="B549" s="43"/>
      <c r="C549" s="43"/>
      <c r="D549" s="43"/>
      <c r="E549" s="43"/>
      <c r="O549" s="31"/>
    </row>
    <row r="550" spans="2:15" ht="12.75" hidden="1">
      <c r="B550" s="43"/>
      <c r="C550" s="43"/>
      <c r="D550" s="43"/>
      <c r="E550" s="43"/>
      <c r="O550" s="31"/>
    </row>
    <row r="551" spans="2:15" ht="12.75" hidden="1">
      <c r="B551" s="43"/>
      <c r="C551" s="43"/>
      <c r="D551" s="43"/>
      <c r="E551" s="43"/>
      <c r="O551" s="31"/>
    </row>
    <row r="552" spans="2:15" ht="12.75" hidden="1">
      <c r="B552" s="43"/>
      <c r="C552" s="43"/>
      <c r="D552" s="43"/>
      <c r="E552" s="43"/>
      <c r="O552" s="31"/>
    </row>
    <row r="553" spans="2:15" ht="12.75" hidden="1">
      <c r="B553" s="43"/>
      <c r="C553" s="43"/>
      <c r="D553" s="43"/>
      <c r="E553" s="43"/>
      <c r="O553" s="31"/>
    </row>
    <row r="554" spans="2:15" ht="12.75" hidden="1">
      <c r="B554" s="43"/>
      <c r="C554" s="43"/>
      <c r="D554" s="43"/>
      <c r="E554" s="43"/>
      <c r="O554" s="31"/>
    </row>
    <row r="555" spans="2:15" ht="12.75" hidden="1">
      <c r="B555" s="43"/>
      <c r="C555" s="43"/>
      <c r="D555" s="43"/>
      <c r="E555" s="43"/>
      <c r="O555" s="31"/>
    </row>
    <row r="556" spans="2:15" ht="12.75" hidden="1">
      <c r="B556" s="43"/>
      <c r="C556" s="43"/>
      <c r="D556" s="43"/>
      <c r="E556" s="43"/>
      <c r="O556" s="31"/>
    </row>
    <row r="557" spans="2:15" ht="12.75" hidden="1">
      <c r="B557" s="43"/>
      <c r="C557" s="43"/>
      <c r="D557" s="43"/>
      <c r="E557" s="43"/>
      <c r="O557" s="31"/>
    </row>
    <row r="558" spans="2:15" ht="12.75" hidden="1">
      <c r="B558" s="43"/>
      <c r="C558" s="43"/>
      <c r="D558" s="43"/>
      <c r="E558" s="43"/>
      <c r="O558" s="31"/>
    </row>
    <row r="559" spans="2:15" ht="12.75" hidden="1">
      <c r="B559" s="43"/>
      <c r="C559" s="43"/>
      <c r="D559" s="43"/>
      <c r="E559" s="43"/>
      <c r="O559" s="31"/>
    </row>
    <row r="560" spans="2:15" ht="12.75" hidden="1">
      <c r="B560" s="43"/>
      <c r="C560" s="43"/>
      <c r="D560" s="43"/>
      <c r="E560" s="43"/>
      <c r="O560" s="31"/>
    </row>
    <row r="561" spans="2:15" ht="12.75" hidden="1">
      <c r="B561" s="43"/>
      <c r="C561" s="43"/>
      <c r="D561" s="43"/>
      <c r="E561" s="43"/>
      <c r="O561" s="31"/>
    </row>
    <row r="562" spans="2:15" ht="12.75" hidden="1">
      <c r="B562" s="43"/>
      <c r="C562" s="43"/>
      <c r="D562" s="43"/>
      <c r="E562" s="43"/>
      <c r="O562" s="31"/>
    </row>
    <row r="563" spans="2:15" ht="12.75" hidden="1">
      <c r="B563" s="43"/>
      <c r="C563" s="43"/>
      <c r="D563" s="43"/>
      <c r="E563" s="43"/>
      <c r="O563" s="31"/>
    </row>
    <row r="564" spans="2:15" ht="12.75" hidden="1">
      <c r="B564" s="43"/>
      <c r="C564" s="43"/>
      <c r="D564" s="43"/>
      <c r="E564" s="43"/>
      <c r="O564" s="31"/>
    </row>
    <row r="565" spans="2:15" ht="12.75" hidden="1">
      <c r="B565" s="43"/>
      <c r="C565" s="43"/>
      <c r="D565" s="43"/>
      <c r="E565" s="43"/>
      <c r="O565" s="31"/>
    </row>
    <row r="566" spans="2:15" ht="12.75" hidden="1">
      <c r="B566" s="43"/>
      <c r="C566" s="43"/>
      <c r="D566" s="43"/>
      <c r="E566" s="43"/>
      <c r="O566" s="31"/>
    </row>
    <row r="567" spans="2:15" ht="12.75" hidden="1">
      <c r="B567" s="43"/>
      <c r="C567" s="43"/>
      <c r="D567" s="43"/>
      <c r="E567" s="43"/>
      <c r="O567" s="31"/>
    </row>
    <row r="568" spans="2:15" ht="12.75" hidden="1">
      <c r="B568" s="43"/>
      <c r="C568" s="43"/>
      <c r="D568" s="43"/>
      <c r="E568" s="43"/>
      <c r="O568" s="31"/>
    </row>
    <row r="569" spans="2:15" ht="12.75" hidden="1">
      <c r="B569" s="43"/>
      <c r="C569" s="43"/>
      <c r="D569" s="43"/>
      <c r="E569" s="43"/>
      <c r="O569" s="31"/>
    </row>
    <row r="570" spans="2:15" ht="12.75" hidden="1">
      <c r="B570" s="43"/>
      <c r="C570" s="43"/>
      <c r="D570" s="43"/>
      <c r="E570" s="43"/>
      <c r="O570" s="31"/>
    </row>
    <row r="571" spans="2:15" ht="12.75" hidden="1">
      <c r="B571" s="43"/>
      <c r="C571" s="43"/>
      <c r="D571" s="43"/>
      <c r="E571" s="43"/>
      <c r="O571" s="31"/>
    </row>
    <row r="572" spans="2:15" ht="12.75" hidden="1">
      <c r="B572" s="43"/>
      <c r="C572" s="43"/>
      <c r="D572" s="43"/>
      <c r="E572" s="43"/>
      <c r="O572" s="31"/>
    </row>
    <row r="573" spans="2:15" ht="12.75" hidden="1">
      <c r="B573" s="43"/>
      <c r="C573" s="43"/>
      <c r="D573" s="43"/>
      <c r="E573" s="43"/>
      <c r="O573" s="31"/>
    </row>
    <row r="574" spans="2:15" ht="12.75" hidden="1">
      <c r="B574" s="43"/>
      <c r="C574" s="43"/>
      <c r="D574" s="43"/>
      <c r="E574" s="43"/>
      <c r="O574" s="31"/>
    </row>
    <row r="575" spans="2:15" ht="12.75" hidden="1">
      <c r="B575" s="43"/>
      <c r="C575" s="43"/>
      <c r="D575" s="43"/>
      <c r="E575" s="43"/>
      <c r="O575" s="31"/>
    </row>
    <row r="576" spans="2:15" ht="12.75" hidden="1">
      <c r="B576" s="43"/>
      <c r="C576" s="43"/>
      <c r="D576" s="43"/>
      <c r="E576" s="43"/>
      <c r="O576" s="31"/>
    </row>
    <row r="577" spans="2:15" ht="12.75" hidden="1">
      <c r="B577" s="43"/>
      <c r="C577" s="43"/>
      <c r="D577" s="43"/>
      <c r="E577" s="43"/>
      <c r="O577" s="31"/>
    </row>
    <row r="578" spans="2:15" ht="12.75" hidden="1">
      <c r="B578" s="43"/>
      <c r="C578" s="43"/>
      <c r="D578" s="43"/>
      <c r="E578" s="43"/>
      <c r="O578" s="31"/>
    </row>
    <row r="579" spans="2:15" ht="12.75" hidden="1">
      <c r="B579" s="43"/>
      <c r="C579" s="43"/>
      <c r="D579" s="43"/>
      <c r="E579" s="43"/>
      <c r="O579" s="31"/>
    </row>
    <row r="580" spans="2:15" ht="12.75" hidden="1">
      <c r="B580" s="43"/>
      <c r="C580" s="43"/>
      <c r="D580" s="43"/>
      <c r="E580" s="43"/>
      <c r="O580" s="31"/>
    </row>
    <row r="581" spans="2:15" ht="12.75" hidden="1">
      <c r="B581" s="43"/>
      <c r="C581" s="43"/>
      <c r="D581" s="43"/>
      <c r="E581" s="43"/>
      <c r="O581" s="31"/>
    </row>
    <row r="582" spans="2:15" ht="12.75" hidden="1">
      <c r="B582" s="43"/>
      <c r="C582" s="43"/>
      <c r="D582" s="43"/>
      <c r="E582" s="43"/>
      <c r="O582" s="31"/>
    </row>
    <row r="583" spans="2:15" ht="12.75" hidden="1">
      <c r="B583" s="43"/>
      <c r="C583" s="43"/>
      <c r="D583" s="43"/>
      <c r="E583" s="43"/>
      <c r="O583" s="31"/>
    </row>
    <row r="584" spans="2:15" ht="12.75" hidden="1">
      <c r="B584" s="43"/>
      <c r="C584" s="43"/>
      <c r="D584" s="43"/>
      <c r="E584" s="43"/>
      <c r="O584" s="31"/>
    </row>
    <row r="585" spans="2:15" ht="12.75" hidden="1">
      <c r="B585" s="43"/>
      <c r="C585" s="43"/>
      <c r="D585" s="43"/>
      <c r="E585" s="43"/>
      <c r="O585" s="31"/>
    </row>
    <row r="586" spans="2:15" ht="12.75" hidden="1">
      <c r="B586" s="43"/>
      <c r="C586" s="43"/>
      <c r="D586" s="43"/>
      <c r="E586" s="43"/>
      <c r="O586" s="31"/>
    </row>
    <row r="587" spans="2:15" ht="12.75" hidden="1">
      <c r="B587" s="43"/>
      <c r="C587" s="43"/>
      <c r="D587" s="43"/>
      <c r="E587" s="43"/>
      <c r="O587" s="31"/>
    </row>
    <row r="588" spans="2:15" ht="12.75" hidden="1">
      <c r="B588" s="43"/>
      <c r="C588" s="43"/>
      <c r="D588" s="43"/>
      <c r="E588" s="43"/>
      <c r="O588" s="31"/>
    </row>
    <row r="589" spans="2:15" ht="12.75" hidden="1">
      <c r="B589" s="43"/>
      <c r="C589" s="43"/>
      <c r="D589" s="43"/>
      <c r="E589" s="43"/>
      <c r="O589" s="31"/>
    </row>
    <row r="590" spans="2:15" ht="12.75" hidden="1">
      <c r="B590" s="43"/>
      <c r="C590" s="43"/>
      <c r="D590" s="43"/>
      <c r="E590" s="43"/>
      <c r="O590" s="31"/>
    </row>
    <row r="591" spans="2:15" ht="12.75" hidden="1">
      <c r="B591" s="43"/>
      <c r="C591" s="43"/>
      <c r="D591" s="43"/>
      <c r="E591" s="43"/>
      <c r="O591" s="31"/>
    </row>
    <row r="592" spans="2:15" ht="12.75" hidden="1">
      <c r="B592" s="43"/>
      <c r="C592" s="43"/>
      <c r="D592" s="43"/>
      <c r="E592" s="43"/>
      <c r="O592" s="31"/>
    </row>
    <row r="593" spans="2:15" ht="12.75" hidden="1">
      <c r="B593" s="43"/>
      <c r="C593" s="43"/>
      <c r="D593" s="43"/>
      <c r="E593" s="43"/>
      <c r="O593" s="31"/>
    </row>
    <row r="594" spans="2:15" ht="12.75" hidden="1">
      <c r="B594" s="43"/>
      <c r="C594" s="43"/>
      <c r="D594" s="43"/>
      <c r="E594" s="43"/>
      <c r="O594" s="31"/>
    </row>
    <row r="595" spans="2:15" ht="12.75" hidden="1">
      <c r="B595" s="43"/>
      <c r="C595" s="43"/>
      <c r="D595" s="43"/>
      <c r="E595" s="43"/>
      <c r="O595" s="31"/>
    </row>
    <row r="596" spans="2:15" ht="12.75" hidden="1">
      <c r="B596" s="43"/>
      <c r="C596" s="43"/>
      <c r="D596" s="43"/>
      <c r="E596" s="43"/>
      <c r="O596" s="31"/>
    </row>
    <row r="597" spans="2:15" ht="12.75" hidden="1">
      <c r="B597" s="43"/>
      <c r="C597" s="43"/>
      <c r="D597" s="43"/>
      <c r="E597" s="43"/>
      <c r="O597" s="31"/>
    </row>
    <row r="598" spans="2:15" ht="12.75" hidden="1">
      <c r="B598" s="43"/>
      <c r="C598" s="43"/>
      <c r="D598" s="43"/>
      <c r="E598" s="43"/>
      <c r="O598" s="31"/>
    </row>
    <row r="599" spans="2:15" ht="12.75" hidden="1">
      <c r="B599" s="43"/>
      <c r="C599" s="43"/>
      <c r="D599" s="43"/>
      <c r="E599" s="43"/>
      <c r="O599" s="31"/>
    </row>
    <row r="600" spans="2:15" ht="12.75" hidden="1">
      <c r="B600" s="43"/>
      <c r="C600" s="43"/>
      <c r="D600" s="43"/>
      <c r="E600" s="43"/>
      <c r="O600" s="31"/>
    </row>
    <row r="601" spans="2:15" ht="12.75" hidden="1">
      <c r="B601" s="43"/>
      <c r="C601" s="43"/>
      <c r="D601" s="43"/>
      <c r="E601" s="43"/>
      <c r="O601" s="31"/>
    </row>
    <row r="602" spans="2:15" ht="12.75" hidden="1">
      <c r="B602" s="43"/>
      <c r="C602" s="43"/>
      <c r="D602" s="43"/>
      <c r="E602" s="43"/>
      <c r="O602" s="31"/>
    </row>
    <row r="603" spans="2:15" ht="12.75" hidden="1">
      <c r="B603" s="43"/>
      <c r="C603" s="43"/>
      <c r="D603" s="43"/>
      <c r="E603" s="43"/>
      <c r="O603" s="31"/>
    </row>
    <row r="604" spans="2:15" ht="12.75" hidden="1">
      <c r="B604" s="43"/>
      <c r="C604" s="43"/>
      <c r="D604" s="43"/>
      <c r="E604" s="43"/>
      <c r="O604" s="31"/>
    </row>
    <row r="605" spans="2:15" ht="12.75" hidden="1">
      <c r="B605" s="43"/>
      <c r="C605" s="43"/>
      <c r="D605" s="43"/>
      <c r="E605" s="43"/>
      <c r="O605" s="31"/>
    </row>
    <row r="606" spans="2:15" ht="12.75" hidden="1">
      <c r="B606" s="43"/>
      <c r="C606" s="43"/>
      <c r="D606" s="43"/>
      <c r="E606" s="43"/>
      <c r="O606" s="31"/>
    </row>
    <row r="607" spans="2:15" ht="12.75" hidden="1">
      <c r="B607" s="43"/>
      <c r="C607" s="43"/>
      <c r="D607" s="43"/>
      <c r="E607" s="43"/>
      <c r="O607" s="31"/>
    </row>
    <row r="608" spans="2:15" ht="12.75" hidden="1">
      <c r="B608" s="43"/>
      <c r="C608" s="43"/>
      <c r="D608" s="43"/>
      <c r="E608" s="43"/>
      <c r="O608" s="31"/>
    </row>
    <row r="609" spans="2:15" ht="12.75" hidden="1">
      <c r="B609" s="43"/>
      <c r="C609" s="43"/>
      <c r="D609" s="43"/>
      <c r="E609" s="43"/>
      <c r="O609" s="31"/>
    </row>
    <row r="610" spans="2:15" ht="12.75" hidden="1">
      <c r="B610" s="43"/>
      <c r="C610" s="43"/>
      <c r="D610" s="43"/>
      <c r="E610" s="43"/>
      <c r="O610" s="31"/>
    </row>
    <row r="611" spans="2:15" ht="12.75" hidden="1">
      <c r="B611" s="43"/>
      <c r="C611" s="46"/>
      <c r="D611" s="58"/>
      <c r="E611" s="58"/>
      <c r="O611" s="31"/>
    </row>
    <row r="612" spans="2:15" ht="12.75" hidden="1">
      <c r="B612" s="43"/>
      <c r="C612" s="46"/>
      <c r="D612" s="58"/>
      <c r="E612" s="58"/>
      <c r="O612" s="31"/>
    </row>
    <row r="613" spans="2:15" ht="12.75" hidden="1">
      <c r="B613" s="43"/>
      <c r="C613" s="43"/>
      <c r="D613" s="43"/>
      <c r="E613" s="43"/>
      <c r="O613" s="31"/>
    </row>
    <row r="614" spans="2:15" ht="2.25" hidden="1" customHeight="1">
      <c r="B614" s="43"/>
      <c r="C614" s="43"/>
      <c r="D614" s="43"/>
      <c r="E614" s="43"/>
      <c r="O614" s="31"/>
    </row>
    <row r="615" spans="2:15" ht="55.5" customHeight="1">
      <c r="B615" s="48" t="s">
        <v>343</v>
      </c>
      <c r="C615" s="48"/>
      <c r="D615" s="58"/>
      <c r="E615" s="58"/>
      <c r="O615" s="31"/>
    </row>
    <row r="616" spans="2:15" ht="51.75" customHeight="1">
      <c r="B616" s="48"/>
      <c r="C616" s="48"/>
      <c r="D616" s="58"/>
      <c r="E616" s="58"/>
      <c r="O616" s="31"/>
    </row>
    <row r="617" spans="2:15" ht="56.25" customHeight="1">
      <c r="B617" s="48" t="s">
        <v>344</v>
      </c>
      <c r="C617" s="48"/>
      <c r="D617" s="58"/>
      <c r="E617" s="58"/>
      <c r="O617" s="31"/>
    </row>
    <row r="618" spans="2:15" ht="57" customHeight="1">
      <c r="B618" s="48"/>
      <c r="C618" s="48"/>
      <c r="D618" s="58"/>
      <c r="E618" s="58"/>
      <c r="O618" s="31"/>
    </row>
    <row r="619" spans="2:15" ht="52.5" customHeight="1">
      <c r="B619" s="48"/>
      <c r="C619" s="48"/>
      <c r="D619" s="48"/>
      <c r="E619" s="48"/>
      <c r="O619" s="31"/>
    </row>
    <row r="620" spans="2:15" ht="49.5" customHeight="1">
      <c r="O620" s="31"/>
    </row>
    <row r="621" spans="2:15" ht="33" customHeight="1">
      <c r="O621" s="31"/>
    </row>
    <row r="622" spans="2:15" ht="39" customHeight="1">
      <c r="C622" s="33"/>
      <c r="D622" s="33"/>
      <c r="E622" s="33"/>
      <c r="O622" s="31"/>
    </row>
    <row r="623" spans="2:15" ht="30.75" customHeight="1">
      <c r="O623" s="31"/>
    </row>
    <row r="624" spans="2:15" ht="12.75" hidden="1">
      <c r="B624" s="30"/>
      <c r="O624" s="31"/>
    </row>
    <row r="625" spans="2:15" ht="12.75" hidden="1" customHeight="1">
      <c r="B625" s="38" t="s">
        <v>345</v>
      </c>
      <c r="O625" s="31"/>
    </row>
    <row r="626" spans="2:15" ht="12.75" hidden="1" customHeight="1">
      <c r="B626" s="40"/>
      <c r="O626" s="31"/>
    </row>
    <row r="627" spans="2:15" ht="12.75" hidden="1">
      <c r="B627" s="32"/>
      <c r="F627" s="33"/>
      <c r="G627" s="33"/>
      <c r="H627" s="33"/>
      <c r="I627" s="33"/>
      <c r="J627" s="33"/>
      <c r="K627" s="33"/>
      <c r="L627" s="33"/>
      <c r="M627" s="33"/>
      <c r="N627" s="33"/>
      <c r="O627" s="34"/>
    </row>
    <row r="628" spans="2:15" ht="12.75" hidden="1"/>
    <row r="629" spans="2:15" ht="12.75" hidden="1"/>
    <row r="630" spans="2:15" ht="12.75" hidden="1"/>
    <row r="631" spans="2:15" ht="12.75" hidden="1"/>
    <row r="632" spans="2:15" ht="12.75" hidden="1"/>
    <row r="633" spans="2:15" ht="12.75" hidden="1"/>
    <row r="634" spans="2:15" ht="12.75" hidden="1"/>
    <row r="635" spans="2:15" ht="12.75" hidden="1"/>
    <row r="636" spans="2:15" ht="12.75" hidden="1"/>
    <row r="637" spans="2:15" ht="12.75" hidden="1"/>
    <row r="638" spans="2:15" ht="12.75" hidden="1"/>
    <row r="639" spans="2:15" ht="12.75" hidden="1"/>
    <row r="640" spans="2:15" ht="12.75" hidden="1"/>
    <row r="641" ht="12.75" hidden="1"/>
    <row r="642" ht="12.75" hidden="1"/>
    <row r="643" ht="12.75" hidden="1"/>
    <row r="644" ht="12.75" hidden="1"/>
    <row r="645" ht="12.75" hidden="1"/>
    <row r="646" ht="12.75" hidden="1"/>
    <row r="647" ht="12.75" hidden="1"/>
    <row r="648" ht="12.75" hidden="1"/>
    <row r="649" ht="12.75" hidden="1"/>
    <row r="650" ht="12.75" hidden="1"/>
    <row r="651" ht="12.75" hidden="1"/>
    <row r="652" ht="12.75" hidden="1"/>
    <row r="653" ht="12.75" hidden="1"/>
    <row r="654" ht="12.75" hidden="1"/>
    <row r="655" ht="12.75" hidden="1"/>
    <row r="656" ht="12.75" hidden="1"/>
    <row r="657" ht="12.75" hidden="1"/>
    <row r="658" ht="12.75" hidden="1"/>
    <row r="659" ht="12.75" hidden="1"/>
    <row r="660" ht="12.75" hidden="1"/>
    <row r="661" ht="12.75" hidden="1"/>
    <row r="662" ht="12.75" hidden="1"/>
    <row r="663" ht="12.75" hidden="1"/>
    <row r="664" ht="12.75" hidden="1"/>
    <row r="665" ht="12.75" hidden="1"/>
    <row r="666" ht="12.75" hidden="1"/>
    <row r="667" ht="12.75" hidden="1"/>
    <row r="668" ht="12.75" hidden="1"/>
    <row r="669" ht="12.75" hidden="1"/>
    <row r="670" ht="12.75" hidden="1"/>
    <row r="671" ht="12.75" hidden="1"/>
    <row r="672" ht="12.75" hidden="1"/>
    <row r="673" ht="12.75" hidden="1"/>
    <row r="674" ht="12.75" hidden="1"/>
    <row r="675" ht="12.75" hidden="1"/>
    <row r="676" ht="12.75" hidden="1"/>
    <row r="677" ht="12.75" hidden="1"/>
    <row r="678" ht="12.75" hidden="1"/>
    <row r="679" ht="12.75" hidden="1"/>
    <row r="680" ht="12.75" hidden="1"/>
    <row r="681" ht="12.75" hidden="1"/>
    <row r="682" ht="12.75" hidden="1"/>
    <row r="683" ht="12.75" hidden="1"/>
    <row r="684" ht="12.75" hidden="1"/>
    <row r="685" ht="12.75" hidden="1"/>
    <row r="686" ht="12.75" hidden="1"/>
    <row r="687" ht="12.75" hidden="1"/>
    <row r="688" ht="12.75" hidden="1"/>
    <row r="689" ht="12.75" hidden="1"/>
    <row r="690" ht="12.75" hidden="1"/>
    <row r="691" ht="12.75" hidden="1"/>
    <row r="692" ht="12.75" hidden="1"/>
    <row r="693" ht="12.75" hidden="1"/>
    <row r="694" ht="12.75" hidden="1"/>
    <row r="695" ht="12.75" hidden="1"/>
    <row r="696" ht="12.75" hidden="1"/>
    <row r="697" ht="12.75" hidden="1"/>
    <row r="698" ht="12.75" hidden="1"/>
    <row r="699" ht="12.75" hidden="1"/>
    <row r="700" ht="12.75" hidden="1"/>
    <row r="701" ht="12.75" hidden="1"/>
    <row r="702" ht="12.75" hidden="1"/>
    <row r="703" ht="12.75" hidden="1"/>
    <row r="704" ht="12.75" hidden="1"/>
    <row r="705" ht="12.75" hidden="1"/>
    <row r="706" ht="12.75" hidden="1"/>
    <row r="707" ht="12.75" hidden="1"/>
    <row r="708" ht="12.75" hidden="1"/>
    <row r="709" ht="12.75" hidden="1"/>
    <row r="710" ht="12.75" hidden="1"/>
    <row r="711" ht="12.75" hidden="1"/>
    <row r="712" ht="12.75" hidden="1"/>
    <row r="713" ht="12.75" hidden="1"/>
    <row r="714" ht="12.75" hidden="1"/>
    <row r="715" ht="12.75" hidden="1"/>
    <row r="716" ht="12.75" hidden="1"/>
    <row r="717" ht="12.75" hidden="1"/>
    <row r="718" ht="12.75" hidden="1"/>
    <row r="719" ht="12.75" hidden="1"/>
    <row r="720" ht="12.75" hidden="1"/>
    <row r="721" ht="12.75" hidden="1"/>
    <row r="722" ht="12.75" hidden="1"/>
    <row r="723" ht="12.75" hidden="1"/>
    <row r="724" ht="12.75" hidden="1"/>
    <row r="725" ht="12.75" hidden="1"/>
    <row r="726" ht="12.75" hidden="1"/>
    <row r="727" ht="12.75" hidden="1"/>
    <row r="728" ht="12.75" hidden="1"/>
    <row r="729" ht="12.75" hidden="1"/>
    <row r="730" ht="12.75" hidden="1"/>
    <row r="731" ht="12.75" hidden="1"/>
    <row r="732" ht="12.75" hidden="1"/>
    <row r="733" ht="12.75" hidden="1"/>
    <row r="734" ht="12.75" hidden="1"/>
    <row r="735" ht="12.75" hidden="1"/>
    <row r="736" ht="12.75" hidden="1"/>
    <row r="737" ht="12.75" hidden="1"/>
    <row r="738" ht="12.75" hidden="1"/>
    <row r="739" ht="12.75" hidden="1"/>
    <row r="740" ht="12.75" hidden="1"/>
    <row r="741" ht="12.75" hidden="1"/>
    <row r="742" ht="12.75" hidden="1"/>
    <row r="743" ht="12.75" hidden="1"/>
    <row r="744" ht="12.75" hidden="1"/>
    <row r="745" ht="12.75" hidden="1"/>
    <row r="746" ht="12.75" hidden="1"/>
    <row r="747" ht="12.75" hidden="1"/>
    <row r="748" ht="12.75" hidden="1"/>
    <row r="749" ht="12.75" hidden="1"/>
    <row r="750" ht="12.75" hidden="1"/>
    <row r="751" ht="12.75" hidden="1"/>
    <row r="752" ht="12.75" hidden="1"/>
    <row r="753" ht="12.75" hidden="1"/>
    <row r="754" ht="12.75" hidden="1"/>
    <row r="755" ht="12.75" hidden="1"/>
    <row r="756" ht="12.75" hidden="1"/>
    <row r="757" ht="12.75" hidden="1"/>
    <row r="758" ht="12.75" hidden="1"/>
    <row r="759" ht="12.75" hidden="1"/>
    <row r="760" ht="12.75" hidden="1"/>
    <row r="761" ht="12.75" hidden="1"/>
    <row r="762" ht="12.75" hidden="1"/>
    <row r="763" ht="12.75" hidden="1"/>
    <row r="764" ht="12.75" hidden="1"/>
    <row r="765" ht="12.75" hidden="1"/>
    <row r="766" ht="12.75" hidden="1"/>
    <row r="767" ht="12.75" hidden="1"/>
    <row r="768" ht="12.75" hidden="1"/>
    <row r="769" ht="12.75" hidden="1"/>
    <row r="770" ht="12.75" hidden="1"/>
    <row r="771" ht="12.75" hidden="1"/>
    <row r="772" ht="12.75" hidden="1"/>
    <row r="773" ht="12.75" hidden="1"/>
    <row r="774" ht="12.75" hidden="1"/>
    <row r="775" ht="12.75" hidden="1"/>
    <row r="776" ht="12.75" hidden="1"/>
    <row r="777" ht="12.75" hidden="1"/>
    <row r="778" ht="12.75" hidden="1"/>
    <row r="779" ht="12.75" hidden="1"/>
    <row r="780" ht="12.75" hidden="1"/>
    <row r="781" ht="12.75" hidden="1"/>
    <row r="782" ht="12.75" hidden="1"/>
    <row r="783" ht="12.75" hidden="1"/>
    <row r="784" ht="12.75" hidden="1"/>
    <row r="785" ht="12.75" hidden="1"/>
    <row r="786" ht="12.75" hidden="1"/>
    <row r="787" ht="12.75" hidden="1"/>
    <row r="788" ht="12.75" hidden="1"/>
    <row r="789" ht="12.75" hidden="1"/>
    <row r="790" ht="12.75" hidden="1"/>
    <row r="791" ht="12.75" hidden="1"/>
    <row r="792" ht="12.75" hidden="1"/>
    <row r="793" ht="12.75" hidden="1"/>
    <row r="794" ht="12.75" hidden="1"/>
    <row r="795" ht="12.75" hidden="1"/>
    <row r="796" ht="12.75" hidden="1"/>
    <row r="797" ht="12.75" hidden="1"/>
    <row r="798" ht="12.75" hidden="1"/>
    <row r="799" ht="12.75" hidden="1"/>
    <row r="800" ht="12.75" hidden="1"/>
    <row r="801" ht="12.75" hidden="1"/>
    <row r="802" ht="12.75" hidden="1"/>
    <row r="803" ht="12.75" hidden="1"/>
    <row r="804" ht="12.75" hidden="1"/>
    <row r="805" ht="12.75" hidden="1"/>
    <row r="806" ht="12.75" hidden="1"/>
    <row r="807" ht="12.75" hidden="1"/>
    <row r="808" ht="12.75" hidden="1"/>
    <row r="809" ht="12.75" hidden="1"/>
    <row r="810" ht="12.75" hidden="1"/>
    <row r="811" ht="12.75" hidden="1"/>
    <row r="812" ht="12.75" hidden="1"/>
    <row r="813" ht="12.75" hidden="1"/>
    <row r="814" ht="12.75" hidden="1"/>
    <row r="815" ht="12.75" hidden="1"/>
    <row r="816" ht="12.75" hidden="1"/>
    <row r="817" ht="12.75" hidden="1"/>
    <row r="818" ht="12.75" hidden="1"/>
    <row r="819" ht="12.75" hidden="1"/>
    <row r="820" ht="12.75" hidden="1"/>
    <row r="821" ht="12.75" hidden="1"/>
    <row r="822" ht="12.75" hidden="1"/>
    <row r="823" ht="12.75" hidden="1"/>
    <row r="824" ht="12.75" hidden="1"/>
    <row r="825" ht="12.75" hidden="1"/>
    <row r="826" ht="12.75" hidden="1"/>
    <row r="827" ht="12.75" hidden="1"/>
    <row r="828" ht="12.75" hidden="1"/>
    <row r="829" ht="12.75" hidden="1"/>
    <row r="830" ht="12.75" hidden="1"/>
    <row r="831" ht="12.75" hidden="1"/>
    <row r="832" ht="12.75" hidden="1"/>
    <row r="833" ht="12.75" hidden="1"/>
    <row r="834" ht="12.75" hidden="1"/>
    <row r="835" ht="12.75" hidden="1"/>
    <row r="836" ht="12.75" hidden="1"/>
    <row r="837" ht="12.75" hidden="1"/>
    <row r="838" ht="12.75" hidden="1"/>
    <row r="839" ht="12.75" hidden="1"/>
    <row r="840" ht="12.75" hidden="1"/>
    <row r="841" ht="12.75" hidden="1"/>
    <row r="842" ht="12.75" hidden="1"/>
    <row r="843" ht="12.75" hidden="1"/>
    <row r="844" ht="12.75" hidden="1"/>
    <row r="845" ht="12.75" hidden="1"/>
    <row r="846" ht="12.75" hidden="1"/>
    <row r="847" ht="12.75" hidden="1"/>
    <row r="848" ht="12.75" hidden="1"/>
    <row r="849" ht="12.75" hidden="1"/>
    <row r="850" ht="12.75" hidden="1"/>
    <row r="851" ht="12.75" hidden="1"/>
    <row r="852" ht="12.75" hidden="1"/>
    <row r="853" ht="12.75" hidden="1"/>
    <row r="854" ht="12.75" hidden="1"/>
    <row r="855" ht="12.75" hidden="1"/>
    <row r="856" ht="12.75" hidden="1"/>
    <row r="857" ht="12.75" hidden="1"/>
    <row r="858" ht="12.75" hidden="1"/>
    <row r="859" ht="12.75" hidden="1"/>
    <row r="860" ht="12.75" hidden="1"/>
    <row r="861" ht="12.75" hidden="1"/>
    <row r="862" ht="12.75" hidden="1"/>
    <row r="863" ht="12.75" hidden="1"/>
    <row r="864" ht="12.75" hidden="1"/>
    <row r="865" ht="12.75" hidden="1"/>
    <row r="866" ht="12.75" hidden="1"/>
    <row r="867" ht="12.75" hidden="1"/>
    <row r="868" ht="12.75" hidden="1"/>
    <row r="869" ht="12.75" hidden="1"/>
    <row r="870" ht="12.75" hidden="1"/>
    <row r="871" ht="12.75" hidden="1"/>
    <row r="872" ht="12.75" hidden="1"/>
    <row r="873" ht="12.75" hidden="1"/>
    <row r="874" ht="12.75" hidden="1"/>
    <row r="875" ht="12.75" hidden="1"/>
    <row r="876" ht="12.75" hidden="1"/>
    <row r="877" ht="12.75" hidden="1"/>
    <row r="878" ht="12.75" hidden="1"/>
    <row r="879" ht="12.75" hidden="1"/>
    <row r="880" ht="12.75" hidden="1"/>
    <row r="881" ht="12.75" hidden="1"/>
    <row r="882" ht="12.75" hidden="1"/>
    <row r="883" ht="12.75" hidden="1"/>
    <row r="884" ht="12.75" hidden="1"/>
    <row r="885" ht="12.75" hidden="1"/>
    <row r="886" ht="12.75" hidden="1"/>
    <row r="887" ht="12.75" hidden="1"/>
    <row r="888" ht="12.75" hidden="1"/>
    <row r="889" ht="12.75" hidden="1"/>
    <row r="890" ht="12.75" hidden="1"/>
    <row r="891" ht="12.75" hidden="1"/>
    <row r="892" ht="12.75" hidden="1"/>
    <row r="893" ht="12.75" hidden="1"/>
    <row r="894" ht="12.75" hidden="1"/>
    <row r="895" ht="12.75" hidden="1"/>
    <row r="896" ht="12.75" hidden="1"/>
    <row r="897" ht="12.75" hidden="1"/>
    <row r="898" ht="12.75" hidden="1"/>
    <row r="899" ht="12.75" hidden="1"/>
    <row r="900" ht="12.75" hidden="1"/>
    <row r="901" ht="12.75" hidden="1"/>
    <row r="902" ht="12.75" hidden="1"/>
    <row r="903" ht="12.75" hidden="1"/>
    <row r="904" ht="12.75" hidden="1"/>
    <row r="905" ht="12.75" hidden="1"/>
    <row r="906" ht="12.75" hidden="1"/>
    <row r="907" ht="12.75" hidden="1"/>
    <row r="908" ht="12.75" hidden="1"/>
    <row r="909" ht="12.75" hidden="1"/>
    <row r="910" ht="12.75" hidden="1"/>
    <row r="911" ht="12.75" hidden="1"/>
    <row r="912" ht="12.75" hidden="1"/>
    <row r="913" ht="12.75" hidden="1"/>
    <row r="914" ht="12.75" hidden="1"/>
    <row r="915" ht="12.75" hidden="1"/>
    <row r="916" ht="12.75" hidden="1"/>
    <row r="917" ht="12.75" hidden="1"/>
    <row r="918" ht="12.75" hidden="1"/>
    <row r="919" ht="12.75" hidden="1"/>
    <row r="920" ht="12.75" hidden="1"/>
    <row r="921" ht="12.75" hidden="1"/>
    <row r="922" ht="12.75" hidden="1"/>
    <row r="923" ht="12.75" hidden="1"/>
    <row r="924" ht="12.75" hidden="1"/>
    <row r="925" ht="12.75" hidden="1"/>
    <row r="926" ht="12.75" hidden="1"/>
    <row r="927" ht="12.75" hidden="1"/>
    <row r="928" ht="12.75" hidden="1"/>
    <row r="929" ht="12.75" hidden="1"/>
    <row r="930" ht="12.75" hidden="1"/>
    <row r="931" ht="12.75" hidden="1"/>
    <row r="932" ht="12.75" hidden="1"/>
    <row r="933" ht="12.75" hidden="1"/>
    <row r="934" ht="12.75" hidden="1"/>
    <row r="935" ht="12.75" hidden="1"/>
    <row r="936" ht="12.75" hidden="1"/>
    <row r="937" ht="12.75" hidden="1"/>
    <row r="938" ht="12.75" hidden="1"/>
    <row r="939" ht="12.75" hidden="1"/>
    <row r="940" ht="12.75" hidden="1"/>
    <row r="941" ht="12.75" hidden="1"/>
    <row r="942" ht="12.75" hidden="1"/>
    <row r="943" ht="12.75" hidden="1"/>
    <row r="944" ht="12.75" hidden="1"/>
    <row r="945" ht="12.75" hidden="1"/>
    <row r="946" ht="12.75" hidden="1"/>
    <row r="947" ht="12.75" hidden="1"/>
    <row r="948" ht="12.75" hidden="1"/>
    <row r="949" ht="12.75" hidden="1"/>
    <row r="950" ht="12.75" hidden="1"/>
    <row r="951" ht="12.75" hidden="1"/>
    <row r="952" ht="12.75" hidden="1"/>
    <row r="953" ht="12.75" hidden="1"/>
    <row r="954" ht="12.75" hidden="1"/>
    <row r="955" ht="12.75" hidden="1"/>
    <row r="956" ht="12.75" hidden="1"/>
    <row r="957" ht="12.75" hidden="1"/>
    <row r="958" ht="12.75" hidden="1"/>
    <row r="959" ht="12.75" hidden="1"/>
    <row r="960" ht="12.75" hidden="1"/>
    <row r="961" ht="12.75" hidden="1"/>
    <row r="962" ht="12.75" hidden="1"/>
    <row r="963" ht="12.75" hidden="1"/>
    <row r="964" ht="12.75" hidden="1"/>
    <row r="965" ht="12.75" hidden="1"/>
    <row r="966" ht="12.75" hidden="1"/>
    <row r="967" ht="12.75" hidden="1"/>
    <row r="968" ht="12.75" hidden="1"/>
    <row r="969" ht="12.75" hidden="1"/>
    <row r="970" ht="12.75" hidden="1"/>
    <row r="971" ht="12.75" hidden="1"/>
    <row r="972" ht="12.75" hidden="1"/>
    <row r="973" ht="12.75" hidden="1"/>
    <row r="974" ht="12.75" hidden="1"/>
    <row r="975" ht="12.75" hidden="1"/>
    <row r="976" ht="12.75" hidden="1"/>
    <row r="977" ht="12.75" hidden="1"/>
    <row r="978" ht="12.75" hidden="1"/>
    <row r="979" ht="12.75" hidden="1"/>
    <row r="980" ht="12.75" hidden="1"/>
    <row r="981" ht="12.75" hidden="1"/>
    <row r="982" ht="12.75" hidden="1"/>
    <row r="983" ht="12.75" hidden="1"/>
    <row r="984" ht="12.75" hidden="1"/>
    <row r="985" ht="12.75" hidden="1"/>
    <row r="986" ht="12.75" hidden="1"/>
    <row r="987" ht="12.75" hidden="1"/>
    <row r="988" ht="12.75" hidden="1"/>
    <row r="989" ht="12.75" hidden="1"/>
    <row r="990" ht="12.75" hidden="1"/>
    <row r="991" ht="12.75" hidden="1"/>
    <row r="992" ht="12.75" hidden="1"/>
    <row r="993" ht="12.75" hidden="1"/>
    <row r="994" ht="12.75" hidden="1"/>
    <row r="995" ht="12.75" hidden="1"/>
    <row r="996" ht="12.75" hidden="1"/>
    <row r="997" ht="12.75" hidden="1"/>
    <row r="998" ht="12.75" hidden="1"/>
    <row r="999" ht="12.75" hidden="1"/>
    <row r="1000" ht="12.75" hidden="1"/>
    <row r="1001" ht="12.75" hidden="1"/>
    <row r="1002" ht="12.75" hidden="1"/>
    <row r="1003" ht="12.75" hidden="1"/>
    <row r="1004" ht="12.75" hidden="1"/>
    <row r="1005" ht="12.75" hidden="1"/>
    <row r="1006" ht="12.75" hidden="1"/>
    <row r="1007" ht="12.75" hidden="1"/>
    <row r="1008" ht="12.75" hidden="1"/>
    <row r="1009" ht="12.75" hidden="1"/>
    <row r="1010" ht="12.75" hidden="1"/>
    <row r="1011" ht="12.75" hidden="1"/>
    <row r="1012" ht="12.75" hidden="1"/>
    <row r="1013" ht="12.75" hidden="1"/>
    <row r="1014" ht="12.75" hidden="1"/>
    <row r="1015" ht="12.75" hidden="1"/>
    <row r="1016" ht="12.75" hidden="1"/>
    <row r="1017" ht="12.75" hidden="1"/>
    <row r="1018" ht="12.75" hidden="1"/>
    <row r="1019" ht="12.75" hidden="1"/>
    <row r="1020" ht="12.75" hidden="1"/>
    <row r="1021" ht="12.75" hidden="1"/>
    <row r="1022" ht="12.75" hidden="1"/>
    <row r="1023" ht="12.75" hidden="1"/>
    <row r="1024" ht="12.75" hidden="1"/>
    <row r="1025" ht="12.75" hidden="1"/>
    <row r="1026" ht="12.75" hidden="1"/>
    <row r="1027" ht="12.75" hidden="1"/>
    <row r="1028" ht="12.75" hidden="1"/>
    <row r="1029" ht="12.75" hidden="1"/>
    <row r="1030" ht="12.75" hidden="1"/>
    <row r="1031" ht="12.75" hidden="1"/>
    <row r="1032" ht="12.75" hidden="1"/>
    <row r="1033" ht="12.75" hidden="1"/>
    <row r="1034" ht="12.75" hidden="1"/>
    <row r="1035" ht="12.75" hidden="1"/>
    <row r="1036" ht="12.75" hidden="1"/>
    <row r="1037" ht="12.75" hidden="1"/>
    <row r="1038" ht="12.75" hidden="1"/>
    <row r="1039" ht="12.75" hidden="1"/>
    <row r="1040" ht="12.75" hidden="1"/>
    <row r="1041" ht="12.75" hidden="1"/>
    <row r="1042" ht="12.75" hidden="1"/>
    <row r="1043" ht="12.75" hidden="1"/>
    <row r="1044" ht="12.75" hidden="1"/>
    <row r="1045" ht="12.75" hidden="1"/>
    <row r="1046" ht="12.75" hidden="1"/>
    <row r="1047" ht="12.75" hidden="1"/>
    <row r="1048" ht="12.75" hidden="1"/>
    <row r="1049" ht="12.75" hidden="1"/>
    <row r="1050" ht="12.75" hidden="1"/>
    <row r="1051" ht="12.75" hidden="1"/>
    <row r="1052" ht="12.75" hidden="1"/>
    <row r="1053" ht="12.75" hidden="1"/>
    <row r="1054" ht="12.75" hidden="1"/>
    <row r="1055" ht="12.75" hidden="1"/>
    <row r="1056" ht="12.75" hidden="1"/>
    <row r="1057" ht="12.75" hidden="1"/>
    <row r="1058" ht="12.75" hidden="1"/>
    <row r="1059" ht="12.75" hidden="1"/>
    <row r="1060" ht="12.75" hidden="1"/>
    <row r="1061" ht="12.75" hidden="1"/>
    <row r="1062" ht="12.75" hidden="1"/>
    <row r="1063" ht="12.75" hidden="1"/>
    <row r="1064" ht="12.75" hidden="1"/>
    <row r="1065" ht="12.75" hidden="1"/>
    <row r="1066" ht="12.75" hidden="1"/>
    <row r="1067" ht="12.75" hidden="1"/>
    <row r="1068" ht="12.75" hidden="1"/>
    <row r="1069" ht="12.75" hidden="1"/>
    <row r="1070" ht="12.75" hidden="1"/>
    <row r="1071" ht="12.75" hidden="1"/>
    <row r="1072" ht="12.75" hidden="1"/>
    <row r="1073" ht="12.75" hidden="1"/>
    <row r="1074" ht="12.75" hidden="1"/>
    <row r="1075" ht="12.75" hidden="1"/>
    <row r="1076" ht="12.75" hidden="1"/>
    <row r="1077" ht="12.75" hidden="1"/>
    <row r="1078" ht="12.75" hidden="1"/>
    <row r="1079" ht="12.75" hidden="1"/>
    <row r="1080" ht="12.75" hidden="1"/>
    <row r="1081" ht="12.75" hidden="1"/>
    <row r="1082" ht="12.75" hidden="1"/>
    <row r="1083" ht="12.75" hidden="1"/>
    <row r="1084" ht="12.75" hidden="1"/>
    <row r="1085" ht="12.75" hidden="1"/>
    <row r="1086" ht="12.75" hidden="1"/>
    <row r="1087" ht="12.75" hidden="1"/>
    <row r="1088" ht="12.75" hidden="1"/>
    <row r="1089" ht="12.75" hidden="1"/>
    <row r="1090" ht="12.75" hidden="1"/>
    <row r="1091" ht="12.75" hidden="1"/>
    <row r="1092" ht="12.75" hidden="1"/>
    <row r="1093" ht="12.75" hidden="1"/>
    <row r="1094" ht="12.75" hidden="1"/>
    <row r="1095" ht="12.75" hidden="1"/>
    <row r="1096" ht="12.75" hidden="1"/>
    <row r="1097" ht="12.75" hidden="1"/>
    <row r="1098" ht="12.75" hidden="1"/>
    <row r="1099" ht="12.75" hidden="1"/>
    <row r="1100" ht="12.75" hidden="1"/>
    <row r="1101" ht="12.75" hidden="1"/>
    <row r="1102" ht="12.75" hidden="1"/>
    <row r="1103" ht="12.75" hidden="1"/>
    <row r="1104" ht="12.75" hidden="1"/>
    <row r="1105" ht="12.75" hidden="1"/>
    <row r="1106" ht="12.75" hidden="1"/>
    <row r="1107" ht="12.75" hidden="1"/>
    <row r="1108" ht="12.75" hidden="1"/>
    <row r="1109" ht="12.75" hidden="1"/>
    <row r="1110" ht="12.75" hidden="1"/>
    <row r="1111" ht="12.75" hidden="1"/>
    <row r="1112" ht="12.75" hidden="1"/>
    <row r="1113" ht="12.75" hidden="1"/>
    <row r="1114" ht="12.75" hidden="1"/>
    <row r="1115" ht="12.75" hidden="1"/>
    <row r="1116" ht="12.75" hidden="1"/>
    <row r="1117" ht="12.75" hidden="1"/>
    <row r="1118" ht="12.75" hidden="1"/>
    <row r="1119" ht="12.75" hidden="1"/>
    <row r="1120" ht="12.75" hidden="1"/>
    <row r="1121" ht="12.75" hidden="1"/>
    <row r="1122" ht="12.75" hidden="1"/>
    <row r="1123" ht="12.75" hidden="1"/>
    <row r="1124" ht="12.75" hidden="1"/>
    <row r="1125" ht="12.75" hidden="1"/>
    <row r="1126" ht="12.75" hidden="1"/>
    <row r="1127" ht="12.75" hidden="1"/>
    <row r="1128" ht="12.75" hidden="1"/>
    <row r="1129" ht="12.75" hidden="1"/>
    <row r="1130" ht="12.75" hidden="1"/>
    <row r="1131" ht="12.75" hidden="1"/>
    <row r="1132" ht="12.75" hidden="1"/>
    <row r="1133" ht="12.75" hidden="1"/>
    <row r="1134" ht="12.75" hidden="1"/>
    <row r="1135" ht="12.75" hidden="1"/>
    <row r="1136" ht="12.75" hidden="1"/>
    <row r="1137" ht="12.75" hidden="1"/>
    <row r="1138" ht="12.75" hidden="1"/>
    <row r="1139" ht="12.75" hidden="1"/>
    <row r="1140" ht="12.75" hidden="1"/>
    <row r="1141" ht="12.75" hidden="1"/>
    <row r="1142" ht="12.75" hidden="1"/>
    <row r="1143" ht="12.75" hidden="1"/>
    <row r="1144" ht="12.75" hidden="1"/>
    <row r="1145" ht="12.75" hidden="1"/>
    <row r="1146" ht="12.75" hidden="1"/>
    <row r="1147" ht="12.75" hidden="1"/>
    <row r="1148" ht="12.75" hidden="1"/>
    <row r="1149" ht="12.75" hidden="1"/>
    <row r="1150" ht="12.75" hidden="1"/>
    <row r="1151" ht="12.75" hidden="1"/>
    <row r="1152" ht="12.75" hidden="1"/>
    <row r="1153" ht="12.75" hidden="1"/>
    <row r="1154" ht="12.75" hidden="1"/>
    <row r="1155" ht="12.75" hidden="1"/>
    <row r="1156" ht="12.75" hidden="1"/>
    <row r="1157" ht="12.75" hidden="1"/>
    <row r="1158" ht="12.75" hidden="1"/>
    <row r="1159" ht="12.75" hidden="1"/>
    <row r="1160" ht="12.75" hidden="1"/>
    <row r="1161" ht="12.75" hidden="1"/>
    <row r="1162" ht="12.75" hidden="1"/>
    <row r="1163" ht="12.75" hidden="1"/>
    <row r="1164" ht="12.75" hidden="1"/>
    <row r="1165" ht="12.75" hidden="1"/>
    <row r="1166" ht="12.75" hidden="1"/>
    <row r="1167" ht="12.75" hidden="1"/>
    <row r="1168" ht="12.75" hidden="1"/>
    <row r="1169" ht="12.75" hidden="1"/>
    <row r="1170" ht="12.75" hidden="1"/>
    <row r="1171" ht="12.75" hidden="1"/>
    <row r="1172" ht="12.75" hidden="1"/>
    <row r="1173" ht="12.75" hidden="1"/>
    <row r="1174" ht="12.75" hidden="1"/>
    <row r="1175" ht="12.75" hidden="1"/>
    <row r="1176" ht="12.75" hidden="1"/>
    <row r="1177" ht="12.75" hidden="1"/>
    <row r="1178" ht="12.75" hidden="1"/>
    <row r="1179" ht="12.75" hidden="1"/>
    <row r="1180" ht="12.75" hidden="1"/>
    <row r="1181" ht="12.75" hidden="1"/>
    <row r="1182" ht="12.75" hidden="1"/>
    <row r="1183" ht="12.75" hidden="1"/>
    <row r="1184" ht="12.75" hidden="1"/>
    <row r="1185" ht="12.75" hidden="1"/>
    <row r="1186" ht="12.75" hidden="1"/>
    <row r="1187" ht="12.75" hidden="1"/>
    <row r="1188" ht="12.75" hidden="1"/>
    <row r="1189" ht="12.75" hidden="1"/>
    <row r="1190" ht="12.75" hidden="1"/>
    <row r="1191" ht="12.75" hidden="1"/>
    <row r="1192" ht="12.75" hidden="1"/>
    <row r="1193" ht="12.75" hidden="1"/>
    <row r="1194" ht="12.75" hidden="1"/>
    <row r="1195" ht="12.75" hidden="1"/>
    <row r="1196" ht="12.75" hidden="1"/>
    <row r="1197" ht="12.75" hidden="1"/>
    <row r="1198" ht="12.75" hidden="1"/>
    <row r="1199" ht="12.75" hidden="1"/>
    <row r="1200" ht="12.75" hidden="1"/>
    <row r="1201" ht="12.75" hidden="1"/>
    <row r="1202" ht="12.75" hidden="1"/>
    <row r="1203" ht="12.75" hidden="1"/>
    <row r="1204" ht="12.75" hidden="1"/>
    <row r="1205" ht="12.75" hidden="1"/>
    <row r="1206" ht="12.75" hidden="1"/>
    <row r="1207" ht="12.75" hidden="1"/>
    <row r="1208" ht="12.75" hidden="1"/>
    <row r="1209" ht="12.75" hidden="1"/>
    <row r="1210" ht="12.75" hidden="1"/>
    <row r="1211" ht="12.75" hidden="1"/>
    <row r="1212" ht="12.75" hidden="1"/>
    <row r="1213" ht="12.75" hidden="1"/>
    <row r="1214" ht="12.75" hidden="1"/>
    <row r="1215" ht="12.75" hidden="1"/>
    <row r="1216" ht="12.75" hidden="1"/>
    <row r="1217" ht="12.75" hidden="1"/>
    <row r="1218" ht="12.75" hidden="1"/>
    <row r="1219" ht="12.75" hidden="1"/>
    <row r="1220" ht="12.75" hidden="1"/>
    <row r="1221" ht="12.75" hidden="1"/>
    <row r="1222" ht="12.75" hidden="1"/>
    <row r="1223" ht="12.75" hidden="1"/>
    <row r="1224" ht="12.75" hidden="1"/>
    <row r="1225" ht="12.75" hidden="1"/>
    <row r="1226" ht="12.75" hidden="1"/>
    <row r="1227" ht="12.75" hidden="1"/>
    <row r="1228" ht="12.75" hidden="1"/>
    <row r="1229" ht="12.75" hidden="1"/>
    <row r="1230" ht="12.75" hidden="1"/>
    <row r="1231" ht="12.75" hidden="1"/>
    <row r="1232" ht="12.75" hidden="1"/>
    <row r="1233" ht="12.75" hidden="1"/>
    <row r="1234" ht="12.75" hidden="1"/>
    <row r="1235" ht="12.75" hidden="1"/>
    <row r="1236" ht="12.75" hidden="1"/>
    <row r="1237" ht="12.75" hidden="1"/>
    <row r="1238" ht="12.75" hidden="1"/>
    <row r="1239" ht="12.75" hidden="1"/>
    <row r="1240" ht="12.75" hidden="1"/>
    <row r="1241" ht="12.75" hidden="1"/>
    <row r="1242" ht="12.75" hidden="1"/>
    <row r="1243" ht="12.75" hidden="1"/>
    <row r="1244" ht="12.75" hidden="1"/>
    <row r="1245" ht="12.75" hidden="1"/>
    <row r="1246" ht="12.75" hidden="1"/>
    <row r="1247" ht="12.75" hidden="1"/>
    <row r="1248" ht="12.75" hidden="1"/>
    <row r="1249" ht="12.75" hidden="1"/>
    <row r="1250" ht="12.75" hidden="1"/>
    <row r="1251" ht="12.75" hidden="1"/>
    <row r="1252" ht="12.75" hidden="1"/>
    <row r="1253" ht="12.75" hidden="1"/>
    <row r="1254" ht="12.75" hidden="1"/>
    <row r="1255" ht="12.75" hidden="1"/>
    <row r="1256" ht="12.75" hidden="1"/>
    <row r="1257" ht="12.75" hidden="1"/>
    <row r="1258" ht="12.75" hidden="1"/>
    <row r="1259" ht="12.75" hidden="1"/>
    <row r="1260" ht="12.75" hidden="1"/>
    <row r="1261" ht="12.75" hidden="1"/>
    <row r="1262" ht="12.75" hidden="1"/>
    <row r="1263" ht="12.75" hidden="1"/>
    <row r="1264" ht="12.75" hidden="1"/>
    <row r="1265" ht="12.75" hidden="1"/>
    <row r="1266" ht="12.75" hidden="1"/>
    <row r="1267" ht="12.75" hidden="1"/>
    <row r="1268" ht="12.75" hidden="1"/>
    <row r="1269" ht="12.75" hidden="1"/>
    <row r="1270" ht="12.75" hidden="1"/>
    <row r="1271" ht="12.75" hidden="1"/>
    <row r="1272" ht="12.75" hidden="1"/>
    <row r="1273" ht="12.75" hidden="1"/>
    <row r="1274" ht="12.75" hidden="1"/>
    <row r="1275" ht="12.75" hidden="1"/>
    <row r="1276" ht="12.75" hidden="1"/>
    <row r="1277" ht="12.75" hidden="1"/>
    <row r="1278" ht="12.75" hidden="1"/>
    <row r="1279" ht="12.75" hidden="1"/>
    <row r="1280" ht="12.75" hidden="1"/>
    <row r="1281" ht="12.75" hidden="1"/>
    <row r="1282" ht="12.75" hidden="1"/>
    <row r="1283" ht="12.75" hidden="1"/>
    <row r="1284" ht="12.75" hidden="1"/>
    <row r="1285" ht="12.75" hidden="1"/>
    <row r="1286" ht="12.75" hidden="1"/>
    <row r="1287" ht="12.75" hidden="1"/>
    <row r="1288" ht="12.75" hidden="1"/>
    <row r="1289" ht="12.75" hidden="1"/>
    <row r="1290" ht="12.75" hidden="1"/>
    <row r="1291" ht="12.75" hidden="1"/>
    <row r="1292" ht="12.75" hidden="1"/>
    <row r="1293" ht="12.75" hidden="1"/>
    <row r="1294" ht="12.75" hidden="1"/>
    <row r="1295" ht="12.75" hidden="1"/>
    <row r="1296" ht="12.75" hidden="1"/>
    <row r="1297" ht="12.75" hidden="1"/>
    <row r="1298" ht="12.75" hidden="1"/>
    <row r="1299" ht="12.75" hidden="1"/>
    <row r="1300" ht="12.75" hidden="1"/>
    <row r="1301" ht="12.75" hidden="1"/>
    <row r="1302" ht="12.75" hidden="1"/>
    <row r="1303" ht="12.75" hidden="1"/>
    <row r="1304" ht="12.75" hidden="1"/>
    <row r="1305" ht="12.75" hidden="1"/>
    <row r="1306" ht="12.75" hidden="1"/>
    <row r="1307" ht="12.75" hidden="1"/>
    <row r="1308" ht="12.75" hidden="1"/>
    <row r="1309" ht="12.75" hidden="1"/>
    <row r="1310" ht="12.75" hidden="1"/>
    <row r="1311" ht="12.75" hidden="1"/>
    <row r="1312" ht="12.75" hidden="1"/>
    <row r="1313" ht="12.75" hidden="1"/>
    <row r="1314" ht="12.75" hidden="1"/>
    <row r="1315" ht="12.75" hidden="1"/>
    <row r="1316" ht="12.75" hidden="1"/>
    <row r="1317" ht="12.75" hidden="1"/>
    <row r="1318" ht="12.75" hidden="1"/>
    <row r="1319" ht="12.75" hidden="1"/>
    <row r="1320" ht="12.75" hidden="1"/>
    <row r="1321" ht="12.75" hidden="1"/>
    <row r="1322" ht="12.75" hidden="1"/>
    <row r="1323" ht="12.75" hidden="1"/>
    <row r="1324" ht="12.75" hidden="1"/>
    <row r="1325" ht="12.75" hidden="1"/>
    <row r="1326" ht="12.75" hidden="1"/>
    <row r="1327" ht="12.75" hidden="1"/>
    <row r="1328" ht="12.75" hidden="1"/>
    <row r="1329" ht="12.75" hidden="1"/>
    <row r="1330" ht="12.75" hidden="1"/>
    <row r="1331" ht="12.75" hidden="1"/>
    <row r="1332" ht="12.75" hidden="1"/>
    <row r="1333" ht="12.75" hidden="1"/>
    <row r="1334" ht="12.75" hidden="1"/>
    <row r="1335" ht="12.75" hidden="1"/>
    <row r="1336" ht="12.75" hidden="1"/>
    <row r="1337" ht="12.75" hidden="1"/>
    <row r="1338" ht="12.75" hidden="1"/>
    <row r="1339" ht="12.75" hidden="1"/>
    <row r="1340" ht="12.75" hidden="1"/>
    <row r="1341" ht="12.75" hidden="1"/>
    <row r="1342" ht="12.75" hidden="1"/>
    <row r="1343" ht="12.75" hidden="1"/>
    <row r="1344" ht="12.75" hidden="1"/>
    <row r="1345" ht="12.75" hidden="1"/>
    <row r="1346" ht="12.75" hidden="1"/>
    <row r="1347" ht="12.75" hidden="1"/>
    <row r="1348" ht="12.75" hidden="1"/>
    <row r="1349" ht="12.75" hidden="1"/>
    <row r="1350" ht="12.75" hidden="1"/>
    <row r="1351" ht="12.75" hidden="1"/>
    <row r="1352" ht="12.75" hidden="1"/>
    <row r="1353" ht="12.75" hidden="1"/>
    <row r="1354" ht="12.75" hidden="1"/>
    <row r="1355" ht="12.75" hidden="1"/>
    <row r="1356" ht="12.75" hidden="1"/>
    <row r="1357" ht="12.75" hidden="1"/>
    <row r="1358" ht="12.75" hidden="1"/>
    <row r="1359" ht="12.75" hidden="1"/>
    <row r="1360" ht="12.75" hidden="1"/>
    <row r="1361" ht="12.75" hidden="1"/>
    <row r="1362" ht="12.75" hidden="1"/>
    <row r="1363" ht="12.75" hidden="1"/>
    <row r="1364" ht="12.75" hidden="1"/>
    <row r="1365" ht="12.75" hidden="1"/>
    <row r="1366" ht="12.75" hidden="1"/>
    <row r="1367" ht="12.75" hidden="1"/>
    <row r="1368" ht="12.75" hidden="1"/>
    <row r="1369" ht="12.75" hidden="1"/>
    <row r="1370" ht="12.75" hidden="1"/>
    <row r="1371" ht="12.75" hidden="1"/>
    <row r="1372" ht="12.75" hidden="1"/>
    <row r="1373" ht="12.75" hidden="1"/>
    <row r="1374" ht="12.75" hidden="1"/>
    <row r="1375" ht="12.75" hidden="1"/>
    <row r="1376" ht="12.75" hidden="1"/>
    <row r="1377" ht="12.75" hidden="1"/>
    <row r="1378" ht="12.75" hidden="1"/>
    <row r="1379" ht="12.75" hidden="1"/>
    <row r="1380" ht="12.75" hidden="1"/>
    <row r="1381" ht="12.75" hidden="1"/>
    <row r="1382" ht="12.75" hidden="1"/>
    <row r="1383" ht="12.75" hidden="1"/>
    <row r="1384" ht="12.75" hidden="1"/>
    <row r="1385" ht="12.75" hidden="1"/>
    <row r="1386" ht="12.75" hidden="1"/>
    <row r="1387" ht="12.75" hidden="1"/>
    <row r="1388" ht="12.75" hidden="1"/>
    <row r="1389" ht="12.75" hidden="1"/>
    <row r="1390" ht="12.75" hidden="1"/>
    <row r="1391" ht="12.75" hidden="1"/>
    <row r="1392" ht="12.75" hidden="1"/>
    <row r="1393" ht="12.75" hidden="1"/>
    <row r="1394" ht="12.75" hidden="1"/>
    <row r="1395" ht="12.75" hidden="1"/>
    <row r="1396" ht="12.75" hidden="1"/>
    <row r="1397" ht="12.75" hidden="1"/>
    <row r="1398" ht="12.75" hidden="1"/>
    <row r="1399" ht="12.75" hidden="1"/>
    <row r="1400" ht="12.75" hidden="1"/>
    <row r="1401" ht="12.75" hidden="1"/>
    <row r="1402" ht="12.75" hidden="1"/>
    <row r="1403" ht="12.75" hidden="1"/>
    <row r="1404" ht="12.75" hidden="1"/>
    <row r="1405" ht="12.75" hidden="1"/>
    <row r="1406" ht="12.75" hidden="1"/>
    <row r="1407" ht="12.75" hidden="1"/>
    <row r="1408" ht="12.75" hidden="1"/>
    <row r="1409" ht="12.75" hidden="1"/>
    <row r="1410" ht="12.75" hidden="1"/>
    <row r="1411" ht="12.75" hidden="1"/>
    <row r="1412" ht="12.75" hidden="1"/>
    <row r="1413" ht="12.75" hidden="1"/>
    <row r="1414" ht="12.75" hidden="1"/>
    <row r="1415" ht="12.75" hidden="1"/>
    <row r="1416" ht="12.75" hidden="1"/>
    <row r="1417" ht="12.75" hidden="1"/>
    <row r="1418" ht="12.75" hidden="1"/>
    <row r="1419" ht="12.75" hidden="1"/>
    <row r="1420" ht="12.75" hidden="1"/>
    <row r="1421" ht="12.75" hidden="1"/>
    <row r="1422" ht="12.75" hidden="1"/>
    <row r="1423" ht="12.75" hidden="1"/>
    <row r="1424" ht="12.75" hidden="1"/>
    <row r="1425" ht="12.75" hidden="1"/>
    <row r="1426" ht="12.75" hidden="1"/>
    <row r="1427" ht="12.75" hidden="1"/>
    <row r="1428" ht="12.75" hidden="1"/>
    <row r="1429" ht="12.75" hidden="1"/>
    <row r="1430" ht="12.75" hidden="1"/>
    <row r="1431" ht="12.75" hidden="1"/>
    <row r="1432" ht="12.75" hidden="1"/>
    <row r="1433" ht="12.75" hidden="1"/>
    <row r="1434" ht="12.75" hidden="1"/>
    <row r="1435" ht="12.75" hidden="1"/>
    <row r="1436" ht="12.75" hidden="1"/>
    <row r="1437" ht="12.75" hidden="1"/>
    <row r="1438" ht="12.75" hidden="1"/>
    <row r="1439" ht="12.75" hidden="1"/>
    <row r="1440" ht="12.75" hidden="1"/>
    <row r="1441" ht="12.75" hidden="1"/>
    <row r="1442" ht="12.75" hidden="1"/>
    <row r="1443" ht="12.75" hidden="1"/>
    <row r="1444" ht="12.75" hidden="1"/>
    <row r="1445" ht="12.75" hidden="1"/>
    <row r="1446" ht="12.75" hidden="1"/>
    <row r="1447" ht="12.75" hidden="1"/>
    <row r="1448" ht="12.75" hidden="1"/>
    <row r="1449" ht="12.75" hidden="1"/>
    <row r="1450" ht="12.75" hidden="1"/>
    <row r="1451" ht="12.75" hidden="1"/>
    <row r="1452" ht="12.75" hidden="1"/>
    <row r="1453" ht="12.75" hidden="1"/>
    <row r="1454" ht="12.75" hidden="1"/>
    <row r="1455" ht="12.75" hidden="1"/>
    <row r="1456" ht="12.75" hidden="1"/>
    <row r="1457" ht="12.75" hidden="1"/>
    <row r="1458" ht="12.75" hidden="1"/>
    <row r="1459" ht="12.75" hidden="1"/>
    <row r="1460" ht="12.75" hidden="1"/>
    <row r="1461" ht="12.75" hidden="1"/>
    <row r="1462" ht="12.75" hidden="1"/>
    <row r="1463" ht="12.75" hidden="1"/>
    <row r="1464" ht="12.75" hidden="1"/>
    <row r="1465" ht="12.75" hidden="1"/>
    <row r="1466" ht="12.75" hidden="1"/>
    <row r="1467" ht="12.75" hidden="1"/>
    <row r="1468" ht="12.75" hidden="1"/>
    <row r="1469" ht="12.75" hidden="1"/>
    <row r="1470" ht="12.75" hidden="1"/>
    <row r="1471" ht="12.75" hidden="1"/>
    <row r="1472" ht="12.75" hidden="1"/>
    <row r="1473" ht="12.75" hidden="1"/>
    <row r="1474" ht="12.75" hidden="1"/>
    <row r="1475" ht="12.75" hidden="1"/>
    <row r="1476" ht="12.75" hidden="1"/>
    <row r="1477" ht="12.75" hidden="1"/>
    <row r="1478" ht="12.75" hidden="1"/>
    <row r="1479" ht="12.75" hidden="1"/>
    <row r="1480" ht="12.75" hidden="1"/>
    <row r="1481" ht="12.75" hidden="1"/>
    <row r="1482" ht="12.75" hidden="1"/>
    <row r="1483" ht="12.75" hidden="1"/>
    <row r="1484" ht="12.75" hidden="1"/>
    <row r="1485" ht="12.75" hidden="1"/>
    <row r="1486" ht="12.75" hidden="1"/>
    <row r="1487" ht="12.75" hidden="1"/>
    <row r="1488" ht="12.75" hidden="1"/>
    <row r="1489" ht="12.75" hidden="1"/>
    <row r="1490" ht="12.75" hidden="1"/>
    <row r="1491" ht="12.75" hidden="1"/>
    <row r="1492" ht="12.75" hidden="1"/>
    <row r="1493" ht="12.75" hidden="1"/>
    <row r="1494" ht="12.75" hidden="1"/>
    <row r="1495" ht="12.75" hidden="1"/>
    <row r="1496" ht="12.75" hidden="1"/>
    <row r="1497" ht="12.75" hidden="1"/>
    <row r="1498" ht="12.75" hidden="1"/>
    <row r="1499" ht="12.75" hidden="1"/>
    <row r="1500" ht="12.75" hidden="1"/>
    <row r="1501" ht="12.75" hidden="1"/>
    <row r="1502" ht="12.75" hidden="1"/>
    <row r="1503" ht="12.75" hidden="1"/>
    <row r="1504" ht="12.75" hidden="1"/>
    <row r="1505" ht="12.75" hidden="1"/>
    <row r="1506" ht="12.75" hidden="1"/>
    <row r="1507" ht="12.75" hidden="1"/>
    <row r="1508" ht="12.75" hidden="1"/>
    <row r="1509" ht="12.75" hidden="1"/>
    <row r="1510" ht="12.75" hidden="1"/>
    <row r="1511" ht="12.75" hidden="1"/>
    <row r="1512" ht="12.75" hidden="1"/>
    <row r="1513" ht="12.75" hidden="1"/>
    <row r="1514" ht="12.75" hidden="1"/>
    <row r="1515" ht="12.75" hidden="1"/>
    <row r="1516" ht="12.75" hidden="1"/>
    <row r="1517" ht="12.75" hidden="1"/>
    <row r="1518" ht="12.75" hidden="1"/>
    <row r="1519" ht="12.75" hidden="1"/>
    <row r="1520" ht="12.75" hidden="1"/>
    <row r="1521" ht="12.75" hidden="1"/>
    <row r="1522" ht="12.75" hidden="1"/>
    <row r="1523" ht="12.75" hidden="1"/>
    <row r="1524" ht="12.75" hidden="1"/>
    <row r="1525" ht="12.75" hidden="1"/>
    <row r="1526" ht="12.75" hidden="1"/>
    <row r="1527" ht="12.75" hidden="1"/>
    <row r="1528" ht="12.75" hidden="1"/>
    <row r="1529" ht="12.75" hidden="1"/>
    <row r="1530" ht="12.75" hidden="1"/>
    <row r="1531" ht="12.75" hidden="1"/>
    <row r="1532" ht="12.75" hidden="1"/>
    <row r="1533" ht="12.75" hidden="1"/>
    <row r="1534" ht="12.75" hidden="1"/>
    <row r="1535" ht="12.75" hidden="1"/>
    <row r="1536" ht="12.75" hidden="1"/>
    <row r="1537" ht="12.75" hidden="1"/>
    <row r="1538" ht="12.75" hidden="1"/>
    <row r="1539" ht="12.75" hidden="1"/>
    <row r="1540" ht="12.75" hidden="1"/>
    <row r="1541" ht="12.75" hidden="1"/>
    <row r="1542" ht="12.75" hidden="1"/>
    <row r="1543" ht="12.75" hidden="1"/>
    <row r="1544" ht="12.75" hidden="1"/>
    <row r="1545" ht="12.75" hidden="1"/>
    <row r="1546" ht="12.75" hidden="1"/>
    <row r="1547" ht="12.75" hidden="1"/>
    <row r="1548" ht="12.75" hidden="1"/>
    <row r="1549" ht="12.75" hidden="1"/>
    <row r="1550" ht="12.75" hidden="1"/>
    <row r="1551" ht="12.75" hidden="1"/>
    <row r="1552" ht="12.75" hidden="1"/>
    <row r="1553" ht="12.75" hidden="1"/>
    <row r="1554" ht="12.75" hidden="1"/>
    <row r="1555" ht="12.75" hidden="1"/>
    <row r="1556" ht="12.75" hidden="1"/>
    <row r="1557" ht="12.75" hidden="1"/>
    <row r="1558" ht="12.75" hidden="1"/>
    <row r="1559" ht="12.75" hidden="1"/>
    <row r="1560" ht="12.75" hidden="1"/>
    <row r="1561" ht="12.75" hidden="1"/>
    <row r="1562" ht="12.75" hidden="1"/>
    <row r="1563" ht="12.75" hidden="1"/>
    <row r="1564" ht="12.75" hidden="1"/>
    <row r="1565" ht="12.75" hidden="1"/>
    <row r="1566" ht="12.75" hidden="1"/>
    <row r="1567" ht="12.75" hidden="1"/>
    <row r="1568" ht="12.75" hidden="1"/>
    <row r="1569" ht="12.75" hidden="1"/>
    <row r="1570" ht="12.75" hidden="1"/>
    <row r="1571" ht="12.75" hidden="1"/>
    <row r="1572" ht="12.75" hidden="1"/>
    <row r="1573" ht="12.75" hidden="1"/>
    <row r="1574" ht="12.75" hidden="1"/>
    <row r="1575" ht="12.75" hidden="1"/>
    <row r="1576" ht="12.75" hidden="1"/>
    <row r="1577" ht="12.75" hidden="1"/>
    <row r="1578" ht="12.75" hidden="1"/>
    <row r="1579" ht="12.75" hidden="1"/>
    <row r="1580" ht="12.75" hidden="1"/>
    <row r="1581" ht="12.75" hidden="1"/>
    <row r="1582" ht="12.75" hidden="1"/>
    <row r="1583" ht="12.75" hidden="1"/>
    <row r="1584" ht="12.75" hidden="1"/>
    <row r="1585" ht="12.75" hidden="1"/>
    <row r="1586" ht="12.75" hidden="1"/>
    <row r="1587" ht="12.75" hidden="1"/>
    <row r="1588" ht="12.75" hidden="1"/>
    <row r="1589" ht="12.75" hidden="1"/>
    <row r="1590" ht="12.75" hidden="1"/>
    <row r="1591" ht="12.75" hidden="1"/>
    <row r="1592" ht="12.75" hidden="1"/>
    <row r="1593" ht="12.75" hidden="1"/>
    <row r="1594" ht="12.75" hidden="1"/>
    <row r="1595" ht="12.75" hidden="1"/>
    <row r="1596" ht="12.75" hidden="1"/>
    <row r="1597" ht="12.75" hidden="1"/>
    <row r="1598" ht="12.75" hidden="1"/>
    <row r="1599" ht="12.75" hidden="1"/>
    <row r="1600" ht="12.75" hidden="1"/>
    <row r="1601" ht="12.75" hidden="1"/>
    <row r="1602" ht="12.75" hidden="1"/>
    <row r="1603" ht="12.75" hidden="1"/>
    <row r="1604" ht="12.75" hidden="1"/>
    <row r="1605" ht="12.75" hidden="1"/>
    <row r="1606" ht="12.75" hidden="1"/>
    <row r="1607" ht="12.75" hidden="1"/>
    <row r="1608" ht="12.75" hidden="1"/>
    <row r="1609" ht="12.75" hidden="1"/>
    <row r="1610" ht="12.75" hidden="1"/>
    <row r="1611" ht="12.75" hidden="1"/>
    <row r="1612" ht="12.75" hidden="1"/>
    <row r="1613" ht="12.75" hidden="1"/>
    <row r="1614" ht="12.75" hidden="1"/>
    <row r="1615" ht="12.75" hidden="1"/>
    <row r="1616" ht="12.75" hidden="1"/>
    <row r="1617" ht="12.75" hidden="1"/>
    <row r="1618" ht="12.75" hidden="1"/>
    <row r="1619" ht="12.75" hidden="1"/>
    <row r="1620" ht="12.75" hidden="1"/>
    <row r="1621" ht="12.75" hidden="1"/>
    <row r="1622" ht="12.75" hidden="1"/>
    <row r="1623" ht="12.75" hidden="1"/>
    <row r="1624" ht="12.75" hidden="1"/>
    <row r="1625" ht="12.75" hidden="1"/>
    <row r="1626" ht="12.75" hidden="1"/>
    <row r="1627" ht="12.75" hidden="1"/>
    <row r="1628" ht="12.75" hidden="1"/>
    <row r="1629" ht="12.75" hidden="1"/>
    <row r="1630" ht="12.75" hidden="1"/>
    <row r="1631" ht="12.75" hidden="1"/>
    <row r="1632" ht="12.75" hidden="1"/>
    <row r="1633" ht="12.75" hidden="1"/>
    <row r="1634" ht="12.75" hidden="1"/>
    <row r="1635" ht="12.75" hidden="1"/>
    <row r="1636" ht="12.75" hidden="1"/>
    <row r="1637" ht="12.75" hidden="1"/>
    <row r="1638" ht="12.75" hidden="1"/>
    <row r="1639" ht="12.75" hidden="1"/>
    <row r="1640" ht="12.75" hidden="1"/>
    <row r="1641" ht="12.75" hidden="1"/>
    <row r="1642" ht="12.75" hidden="1"/>
    <row r="1643" ht="12.75" hidden="1"/>
    <row r="1644" ht="12.75" hidden="1"/>
    <row r="1645" ht="12.75" hidden="1"/>
    <row r="1646" ht="12.75" hidden="1"/>
    <row r="1647" ht="12.75" hidden="1"/>
    <row r="1648" ht="12.75" hidden="1"/>
    <row r="1649" ht="12.75" hidden="1"/>
    <row r="1650" ht="12.75" hidden="1"/>
    <row r="1651" ht="12.75" hidden="1"/>
    <row r="1652" ht="12.75" hidden="1"/>
    <row r="1653" ht="12.75" hidden="1"/>
    <row r="1654" ht="12.75" hidden="1"/>
    <row r="1655" ht="12.75" hidden="1"/>
    <row r="1656" ht="12.75" hidden="1"/>
    <row r="1657" ht="12.75" hidden="1"/>
    <row r="1658" ht="12.75" hidden="1"/>
    <row r="1659" ht="12.75" hidden="1"/>
    <row r="1660" ht="12.75" hidden="1"/>
    <row r="1661" ht="12.75" hidden="1"/>
    <row r="1662" ht="12.75" hidden="1"/>
    <row r="1663" ht="12.75" hidden="1"/>
    <row r="1664" ht="12.75" hidden="1"/>
    <row r="1665" ht="12.75" hidden="1"/>
    <row r="1666" ht="12.75" hidden="1"/>
    <row r="1667" ht="12.75" hidden="1"/>
    <row r="1668" ht="12.75" hidden="1"/>
    <row r="1669" ht="12.75" hidden="1"/>
    <row r="1670" ht="12.75" hidden="1"/>
    <row r="1671" ht="12.75" hidden="1"/>
    <row r="1672" ht="12.75" hidden="1"/>
    <row r="1673" ht="12.75" hidden="1"/>
    <row r="1674" ht="12.75" hidden="1"/>
    <row r="1675" ht="12.75" hidden="1"/>
    <row r="1676" ht="12.75" hidden="1"/>
    <row r="1677" ht="12.75" hidden="1"/>
    <row r="1678" ht="12.75" hidden="1"/>
    <row r="1679" ht="12.75" hidden="1"/>
    <row r="1680" ht="12.75" hidden="1"/>
    <row r="1681" ht="12.75" hidden="1"/>
    <row r="1682" ht="12.75" hidden="1"/>
    <row r="1683" ht="12.75" hidden="1"/>
    <row r="1684" ht="12.75" hidden="1"/>
    <row r="1685" ht="12.75" hidden="1"/>
    <row r="1686" ht="12.75" hidden="1"/>
    <row r="1687" ht="12.75" hidden="1"/>
    <row r="1688" ht="12.75" hidden="1"/>
    <row r="1689" ht="12.75" hidden="1"/>
    <row r="1690" ht="12.75" hidden="1"/>
    <row r="1691" ht="12.75" hidden="1"/>
    <row r="1692" ht="12.75" hidden="1"/>
    <row r="1693" ht="12.75" hidden="1"/>
    <row r="1694" ht="12.75" hidden="1"/>
    <row r="1695" ht="12.75" hidden="1"/>
    <row r="1696" ht="12.75" hidden="1"/>
    <row r="1697" ht="12.75" hidden="1"/>
    <row r="1698" ht="12.75" hidden="1"/>
    <row r="1699" ht="12.75" hidden="1"/>
    <row r="1700" ht="12.75" hidden="1"/>
    <row r="1701" ht="12.75" hidden="1"/>
    <row r="1702" ht="12.75" hidden="1"/>
    <row r="1703" ht="12.75" hidden="1"/>
    <row r="1704" ht="12.75" hidden="1"/>
    <row r="1705" ht="12.75" hidden="1"/>
    <row r="1706" ht="12.75" hidden="1"/>
    <row r="1707" ht="12.75" hidden="1"/>
    <row r="1708" ht="12.75" hidden="1"/>
    <row r="1709" ht="12.75" hidden="1"/>
    <row r="1710" ht="12.75" hidden="1"/>
    <row r="1711" ht="12.75" hidden="1"/>
    <row r="1712" ht="12.75" hidden="1"/>
    <row r="1713" ht="12.75" hidden="1"/>
    <row r="1714" ht="12.75" hidden="1"/>
    <row r="1715" ht="12.75" hidden="1"/>
    <row r="1716" ht="12.75" hidden="1"/>
    <row r="1717" ht="12.75" hidden="1"/>
    <row r="1718" ht="12.75" hidden="1"/>
    <row r="1719" ht="12.75" hidden="1"/>
    <row r="1720" ht="12.75" hidden="1"/>
    <row r="1721" ht="12.75" hidden="1"/>
    <row r="1722" ht="12.75" hidden="1"/>
    <row r="1723" ht="12.75" hidden="1"/>
    <row r="1724" ht="12.75" hidden="1"/>
    <row r="1725" ht="12.75" hidden="1"/>
    <row r="1726" ht="12.75" hidden="1"/>
    <row r="1727" ht="12.75" hidden="1"/>
    <row r="1728" ht="12.75" hidden="1"/>
    <row r="1729" ht="12.75" hidden="1"/>
    <row r="1730" ht="12.75" hidden="1"/>
    <row r="1731" ht="12.75" hidden="1"/>
    <row r="1732" ht="12.75" hidden="1"/>
    <row r="1733" ht="12.75" hidden="1"/>
    <row r="1734" ht="12.75" hidden="1"/>
    <row r="1735" ht="12.75" hidden="1"/>
    <row r="1736" ht="12.75" hidden="1"/>
    <row r="1737" ht="12.75" hidden="1"/>
    <row r="1738" ht="12.75" hidden="1"/>
    <row r="1739" ht="12.75" hidden="1"/>
    <row r="1740" ht="12.75" hidden="1"/>
    <row r="1741" ht="12.75" hidden="1"/>
    <row r="1742" ht="12.75" hidden="1"/>
    <row r="1743" ht="12.75" hidden="1"/>
    <row r="1744" ht="12.75" hidden="1"/>
    <row r="1745" ht="12.75" hidden="1"/>
    <row r="1746" ht="12.75" hidden="1"/>
    <row r="1747" ht="12.75" hidden="1"/>
    <row r="1748" ht="12.75" hidden="1"/>
    <row r="1749" ht="12.75" hidden="1"/>
    <row r="1750" ht="12.75" hidden="1"/>
    <row r="1751" ht="12.75" hidden="1"/>
    <row r="1752" ht="12.75" hidden="1"/>
    <row r="1753" ht="12.75" hidden="1"/>
    <row r="1754" ht="12.75" hidden="1"/>
    <row r="1755" ht="12.75" hidden="1"/>
    <row r="1756" ht="12.75" hidden="1"/>
    <row r="1757" ht="12.75" hidden="1"/>
    <row r="1758" ht="12.75" hidden="1"/>
    <row r="1759" ht="12.75" hidden="1"/>
    <row r="1760" ht="12.75" hidden="1"/>
    <row r="1761" ht="12.75" hidden="1"/>
    <row r="1762" ht="12.75" hidden="1"/>
    <row r="1763" ht="12.75" hidden="1"/>
    <row r="1764" ht="12.75" hidden="1"/>
    <row r="1765" ht="12.75" hidden="1"/>
    <row r="1766" ht="12.75" hidden="1"/>
    <row r="1767" ht="12.75" hidden="1"/>
    <row r="1768" ht="12.75" hidden="1"/>
    <row r="1769" ht="12.75" hidden="1"/>
    <row r="1770" ht="12.75" hidden="1"/>
    <row r="1771" ht="12.75" hidden="1"/>
    <row r="1772" ht="12.75" hidden="1"/>
    <row r="1773" ht="12.75" hidden="1"/>
    <row r="1774" ht="12.75" hidden="1"/>
    <row r="1775" ht="12.75" hidden="1"/>
    <row r="1776" ht="12.75" hidden="1"/>
    <row r="1777" ht="12.75" hidden="1"/>
    <row r="1778" ht="12.75" hidden="1"/>
    <row r="1779" ht="12.75" hidden="1"/>
    <row r="1780" ht="12.75" hidden="1"/>
    <row r="1781" ht="12.75" hidden="1"/>
    <row r="1782" ht="12.75" hidden="1"/>
    <row r="1783" ht="12.75" hidden="1"/>
    <row r="1784" ht="12.75" hidden="1"/>
    <row r="1785" ht="12.75" hidden="1"/>
    <row r="1786" ht="12.75" hidden="1"/>
    <row r="1787" ht="12.75" hidden="1"/>
    <row r="1788" ht="12.75" hidden="1"/>
    <row r="1789" ht="12.75" hidden="1"/>
    <row r="1790" ht="12.75" hidden="1"/>
    <row r="1791" ht="12.75" hidden="1"/>
    <row r="1792" ht="12.75" hidden="1"/>
    <row r="1793" ht="12.75" hidden="1"/>
    <row r="1794" ht="12.75" hidden="1"/>
    <row r="1795" ht="12.75" hidden="1"/>
    <row r="1796" ht="12.75" hidden="1"/>
    <row r="1797" ht="12.75" hidden="1"/>
    <row r="1798" ht="12.75" hidden="1"/>
    <row r="1799" ht="12.75" hidden="1"/>
    <row r="1800" ht="12.75" hidden="1"/>
    <row r="1801" ht="12.75" hidden="1"/>
    <row r="1802" ht="12.75" hidden="1"/>
    <row r="1803" ht="12.75" hidden="1"/>
    <row r="1804" ht="12.75" hidden="1"/>
    <row r="1805" ht="12.75" hidden="1"/>
    <row r="1806" ht="12.75" hidden="1"/>
    <row r="1807" ht="12.75" hidden="1"/>
    <row r="1808" ht="12.75" hidden="1"/>
    <row r="1809" ht="12.75" hidden="1"/>
    <row r="1810" ht="12.75" hidden="1"/>
    <row r="1811" ht="12.75" hidden="1"/>
    <row r="1812" ht="12.75" hidden="1"/>
    <row r="1813" ht="12.75" hidden="1"/>
    <row r="1814" ht="12.75" hidden="1"/>
    <row r="1815" ht="12.75" hidden="1"/>
    <row r="1816" ht="12.75" hidden="1"/>
    <row r="1817" ht="12.75" hidden="1"/>
    <row r="1818" ht="12.75" hidden="1"/>
    <row r="1819" ht="12.75" hidden="1"/>
    <row r="1820" ht="12.75" hidden="1"/>
    <row r="1821" ht="12.75" hidden="1"/>
    <row r="1822" ht="12.75" hidden="1"/>
    <row r="1823" ht="12.75" hidden="1"/>
    <row r="1824" ht="12.75" hidden="1"/>
    <row r="1825" ht="12.75" hidden="1"/>
    <row r="1826" ht="12.75" hidden="1"/>
    <row r="1827" ht="12.75" hidden="1"/>
    <row r="1828" ht="12.75" hidden="1"/>
    <row r="1829" ht="12.75" hidden="1"/>
    <row r="1830" ht="12.75" hidden="1"/>
    <row r="1831" ht="12.75" hidden="1"/>
    <row r="1832" ht="12.75" hidden="1"/>
    <row r="1833" ht="12.75" hidden="1"/>
    <row r="1834" ht="12.75" hidden="1"/>
    <row r="1835" ht="12.75" hidden="1"/>
    <row r="1836" ht="12.75" hidden="1"/>
    <row r="1837" ht="12.75" hidden="1"/>
    <row r="1838" ht="12.75" hidden="1"/>
    <row r="1839" ht="12.75" hidden="1"/>
    <row r="1840" ht="12.75" hidden="1"/>
    <row r="1841" ht="12.75" hidden="1"/>
    <row r="1842" ht="12.75" hidden="1"/>
    <row r="1843" ht="12.75" hidden="1"/>
    <row r="1844" ht="12.75" hidden="1"/>
    <row r="1845" ht="12.75" hidden="1"/>
    <row r="1846" ht="12.75" hidden="1"/>
    <row r="1847" ht="12.75" hidden="1"/>
    <row r="1848" ht="12.75" hidden="1"/>
    <row r="1849" ht="12.75" hidden="1"/>
    <row r="1850" ht="12.75" hidden="1"/>
    <row r="1851" ht="12.75" hidden="1"/>
    <row r="1852" ht="12.75" hidden="1"/>
    <row r="1853" ht="12.75" hidden="1"/>
    <row r="1854" ht="12.75" hidden="1"/>
    <row r="1855" ht="12.75" hidden="1"/>
    <row r="1856" ht="12.75" hidden="1"/>
    <row r="1857" ht="12.75" hidden="1"/>
    <row r="1858" ht="12.75" hidden="1"/>
    <row r="1859" ht="12.75" hidden="1"/>
    <row r="1860" ht="12.75" hidden="1"/>
    <row r="1861" ht="12.75" hidden="1"/>
    <row r="1862" ht="12.75" hidden="1"/>
    <row r="1863" ht="12.75" hidden="1"/>
    <row r="1864" ht="12.75" hidden="1"/>
    <row r="1865" ht="12.75" hidden="1"/>
    <row r="1866" ht="12.75" hidden="1"/>
    <row r="1867" ht="12.75" hidden="1"/>
    <row r="1868" ht="12.75" hidden="1"/>
    <row r="1869" ht="12.75" hidden="1"/>
    <row r="1870" ht="12.75" hidden="1"/>
    <row r="1871" ht="12.75" hidden="1"/>
    <row r="1872" ht="12.75" hidden="1"/>
    <row r="1873" ht="12.75" hidden="1"/>
    <row r="1874" ht="12.75" hidden="1"/>
    <row r="1875" ht="12.75" hidden="1"/>
    <row r="1876" ht="12.75" hidden="1"/>
    <row r="1877" ht="12.75" hidden="1"/>
    <row r="1878" ht="12.75" hidden="1"/>
    <row r="1879" ht="12.75" hidden="1"/>
    <row r="1880" ht="12.75" hidden="1"/>
    <row r="1881" ht="12.75" hidden="1"/>
    <row r="1882" ht="12.75" hidden="1"/>
    <row r="1883" ht="12.75" hidden="1"/>
    <row r="1884" ht="12.75" hidden="1"/>
    <row r="1885" ht="12.75" hidden="1"/>
    <row r="1886" ht="12.75" hidden="1"/>
    <row r="1887" ht="12.75" hidden="1"/>
    <row r="1888" ht="12.75" hidden="1"/>
    <row r="1889" ht="12.75" hidden="1"/>
    <row r="1890" ht="12.75" hidden="1"/>
    <row r="1891" ht="12.75" hidden="1"/>
    <row r="1892" ht="12.75" hidden="1"/>
    <row r="1893" ht="12.75" hidden="1"/>
    <row r="1894" ht="12.75" hidden="1"/>
    <row r="1895" ht="12.75" hidden="1"/>
    <row r="1896" ht="12.75" hidden="1"/>
    <row r="1897" ht="12.75" hidden="1"/>
    <row r="1898" ht="12.75" hidden="1"/>
    <row r="1899" ht="12.75" hidden="1"/>
    <row r="1900" ht="12.75" hidden="1"/>
    <row r="1901" ht="12.75" hidden="1"/>
    <row r="1902" ht="12.75" hidden="1"/>
    <row r="1903" ht="12.75" hidden="1"/>
    <row r="1904" ht="12.75" hidden="1"/>
    <row r="1905" ht="12.75" hidden="1"/>
    <row r="1906" ht="12.75" hidden="1"/>
    <row r="1907" ht="12.75" hidden="1"/>
    <row r="1908" ht="12.75" hidden="1"/>
    <row r="1909" ht="12.75" hidden="1"/>
    <row r="1910" ht="12.75" hidden="1"/>
    <row r="1911" ht="12.75" hidden="1"/>
    <row r="1912" ht="12.75" hidden="1"/>
    <row r="1913" ht="12.75" hidden="1"/>
    <row r="1914" ht="12.75" hidden="1"/>
    <row r="1915" ht="12.75" hidden="1"/>
    <row r="1916" ht="12.75" hidden="1"/>
    <row r="1917" ht="12.75" hidden="1"/>
    <row r="1918" ht="12.75" hidden="1"/>
    <row r="1919" ht="12.75" hidden="1"/>
    <row r="1920" ht="12.75" hidden="1"/>
    <row r="1921" ht="12.75" hidden="1"/>
    <row r="1922" ht="12.75" hidden="1"/>
    <row r="1923" ht="12.75" hidden="1"/>
    <row r="1924" ht="12.75" hidden="1"/>
    <row r="1925" ht="12.75" hidden="1"/>
    <row r="1926" ht="12.75" hidden="1"/>
    <row r="1927" ht="12.75" hidden="1"/>
    <row r="1928" ht="12.75" hidden="1"/>
    <row r="1929" ht="12.75" hidden="1"/>
    <row r="1930" ht="12.75" hidden="1"/>
    <row r="1931" ht="12.75" hidden="1"/>
    <row r="1932" ht="12.75" hidden="1"/>
    <row r="1933" ht="12.75" hidden="1"/>
    <row r="1934" ht="12.75" hidden="1"/>
    <row r="1935" ht="12.75" hidden="1"/>
    <row r="1936" ht="12.75" hidden="1"/>
    <row r="1937" ht="12.75" hidden="1"/>
    <row r="1938" ht="12.75" hidden="1"/>
    <row r="1939" ht="12.75" hidden="1"/>
    <row r="1940" ht="12.75" hidden="1"/>
    <row r="1941" ht="12.75" hidden="1"/>
    <row r="1942" ht="12.75" hidden="1"/>
    <row r="1943" ht="12.75" hidden="1"/>
    <row r="1944" ht="12.75" hidden="1"/>
    <row r="1945" ht="12.75" hidden="1"/>
    <row r="1946" ht="12.75" hidden="1"/>
    <row r="1947" ht="12.75" hidden="1"/>
    <row r="1948" ht="12.75" hidden="1"/>
    <row r="1949" ht="12.75" hidden="1"/>
    <row r="1950" ht="12.75" hidden="1"/>
    <row r="1951" ht="12.75" hidden="1"/>
    <row r="1952" ht="12.75" hidden="1"/>
    <row r="1953" ht="12.75" hidden="1"/>
    <row r="1954" ht="12.75" hidden="1"/>
    <row r="1955" ht="12.75" hidden="1"/>
    <row r="1956" ht="12.75" hidden="1"/>
    <row r="1957" ht="12.75" hidden="1"/>
    <row r="1958" ht="12.75" hidden="1"/>
    <row r="1959" ht="12.75" hidden="1"/>
    <row r="1960" ht="12.75" hidden="1"/>
    <row r="1961" ht="12.75" hidden="1"/>
    <row r="1962" ht="12.75" hidden="1"/>
    <row r="1963" ht="12.75" hidden="1"/>
    <row r="1964" ht="12.75" hidden="1"/>
    <row r="1965" ht="12.75" hidden="1"/>
    <row r="1966" ht="12.75" hidden="1"/>
    <row r="1967" ht="12.75" hidden="1"/>
    <row r="1968" ht="12.75" hidden="1"/>
    <row r="1969" ht="12.75" hidden="1"/>
    <row r="1970" ht="12.75" hidden="1"/>
    <row r="1971" ht="12.75" hidden="1"/>
    <row r="1972" ht="12.75" hidden="1"/>
    <row r="1973" ht="12.75" hidden="1"/>
    <row r="1974" ht="12.75" hidden="1"/>
    <row r="1975" ht="12.75" hidden="1"/>
    <row r="1976" ht="12.75" hidden="1"/>
    <row r="1977" ht="12.75" hidden="1"/>
    <row r="1978" ht="12.75" hidden="1"/>
    <row r="1979" ht="12.75" hidden="1"/>
    <row r="1980" ht="12.75" hidden="1"/>
    <row r="1981" ht="12.75" hidden="1"/>
    <row r="1982" ht="12.75" hidden="1"/>
    <row r="1983" ht="12.75" hidden="1"/>
    <row r="1984" ht="12.75" hidden="1"/>
    <row r="1985" ht="12.75" hidden="1"/>
    <row r="1986" ht="12.75" hidden="1"/>
    <row r="1987" ht="12.75" hidden="1"/>
    <row r="1988" ht="12.75" hidden="1"/>
    <row r="1989" ht="12.75" hidden="1"/>
    <row r="1990" ht="12.75" hidden="1"/>
    <row r="1991" ht="12.75" hidden="1"/>
    <row r="1992" ht="12.75" hidden="1"/>
    <row r="1993" ht="12.75" hidden="1"/>
    <row r="1994" ht="12.75" hidden="1"/>
    <row r="1995" ht="12.75" hidden="1"/>
    <row r="1996" ht="12.75" hidden="1"/>
    <row r="1997" ht="12.75" hidden="1"/>
    <row r="1998" ht="12.75" hidden="1"/>
    <row r="1999" ht="12.75" hidden="1"/>
    <row r="2000" ht="12.75" hidden="1"/>
    <row r="2001" ht="12.75" hidden="1"/>
    <row r="2002" ht="12.75" hidden="1"/>
    <row r="2003" ht="12.75" hidden="1"/>
    <row r="2004" ht="12.75" hidden="1"/>
    <row r="2005" ht="12.75" hidden="1"/>
    <row r="2006" ht="12.75" hidden="1"/>
    <row r="2007" ht="12.75" hidden="1"/>
    <row r="2008" ht="12.75" hidden="1"/>
    <row r="2009" ht="12.75" hidden="1"/>
    <row r="2010" ht="12.75" hidden="1"/>
    <row r="2011" ht="12.75" hidden="1"/>
    <row r="2012" ht="12.75" hidden="1"/>
    <row r="2013" ht="12.75" hidden="1"/>
    <row r="2014" ht="12.75" hidden="1"/>
    <row r="2015" ht="12.75" hidden="1"/>
    <row r="2016" ht="12.75" hidden="1"/>
    <row r="2017" ht="12.75" hidden="1"/>
    <row r="2018" ht="12.75" hidden="1"/>
    <row r="2019" ht="12.75" hidden="1"/>
    <row r="2020" ht="12.75" hidden="1"/>
    <row r="2021" ht="12.75" hidden="1"/>
    <row r="2022" ht="12.75" hidden="1"/>
    <row r="2023" ht="12.75" hidden="1"/>
    <row r="2024" ht="12.75" hidden="1"/>
    <row r="2025" ht="12.75" hidden="1"/>
    <row r="2026" ht="12.75" hidden="1"/>
    <row r="2027" ht="12.75" hidden="1"/>
    <row r="2028" ht="12.75" hidden="1"/>
    <row r="2029" ht="12.75" hidden="1"/>
    <row r="2030" ht="12.75" hidden="1"/>
    <row r="2031" ht="12.75" hidden="1"/>
    <row r="2032" ht="12.75" hidden="1"/>
    <row r="2033" ht="12.75" hidden="1"/>
    <row r="2034" ht="12.75" hidden="1"/>
    <row r="2035" ht="12.75" hidden="1"/>
    <row r="2036" ht="12.75" hidden="1"/>
    <row r="2037" ht="12.75" hidden="1"/>
    <row r="2038" ht="12.75" hidden="1"/>
    <row r="2039" ht="12.75" hidden="1"/>
    <row r="2040" ht="12.75" hidden="1"/>
    <row r="2041" ht="12.75" hidden="1"/>
    <row r="2042" ht="12.75" hidden="1"/>
    <row r="2043" ht="12.75" hidden="1"/>
    <row r="2044" ht="12.75" hidden="1"/>
    <row r="2045" ht="12.75" hidden="1"/>
    <row r="2046" ht="12.75" hidden="1"/>
    <row r="2047" ht="12.75" hidden="1"/>
    <row r="2048" ht="12.75" hidden="1"/>
    <row r="2049" ht="12.75" hidden="1"/>
    <row r="2050" ht="12.75" hidden="1"/>
    <row r="2051" ht="12.75" hidden="1"/>
    <row r="2052" ht="12.75" hidden="1"/>
    <row r="2053" ht="12.75" hidden="1"/>
    <row r="2054" ht="12.75" hidden="1"/>
    <row r="2055" ht="12.75" hidden="1"/>
    <row r="2056" ht="12.75" hidden="1"/>
    <row r="2057" ht="12.75" hidden="1"/>
    <row r="2058" ht="12.75" hidden="1"/>
    <row r="2059" ht="12.75" hidden="1"/>
    <row r="2060" ht="12.75" hidden="1"/>
    <row r="2061" ht="12.75" hidden="1"/>
    <row r="2062" ht="12.75" hidden="1"/>
    <row r="2063" ht="12.75" hidden="1"/>
    <row r="2064" ht="12.75" hidden="1"/>
    <row r="2065" ht="12.75" hidden="1"/>
    <row r="2066" ht="12.75" hidden="1"/>
    <row r="2067" ht="12.75" hidden="1"/>
    <row r="2068" ht="12.75" hidden="1"/>
    <row r="2069" ht="12.75" hidden="1"/>
    <row r="2070" ht="12.75" hidden="1"/>
    <row r="2071" ht="12.75" hidden="1"/>
    <row r="2072" ht="12.75" hidden="1"/>
    <row r="2073" ht="12.75" hidden="1"/>
    <row r="2074" ht="12.75" hidden="1"/>
    <row r="2075" ht="12.75" hidden="1"/>
    <row r="2076" ht="12.75" hidden="1"/>
    <row r="2077" ht="12.75" hidden="1"/>
    <row r="2078" ht="12.75" hidden="1"/>
    <row r="2079" ht="12.75" hidden="1"/>
    <row r="2080" ht="12.75" hidden="1"/>
    <row r="2081" ht="12.75" hidden="1"/>
  </sheetData>
  <autoFilter ref="B4:O201" xr:uid="{00000000-0009-0000-0000-000000000000}">
    <filterColumn colId="5" showButton="0"/>
    <filterColumn colId="6" showButton="0"/>
    <filterColumn colId="7" showButton="0"/>
    <filterColumn colId="8" showButton="0"/>
  </autoFilter>
  <mergeCells count="20">
    <mergeCell ref="B2:O2"/>
    <mergeCell ref="B3:O3"/>
    <mergeCell ref="B4:B5"/>
    <mergeCell ref="C4:C5"/>
    <mergeCell ref="D4:D5"/>
    <mergeCell ref="E4:E5"/>
    <mergeCell ref="G4:K4"/>
    <mergeCell ref="N4:N5"/>
    <mergeCell ref="O4:O5"/>
    <mergeCell ref="F208:G209"/>
    <mergeCell ref="H208:K209"/>
    <mergeCell ref="D617:E618"/>
    <mergeCell ref="D611:E612"/>
    <mergeCell ref="D208:E209"/>
    <mergeCell ref="D615:E616"/>
    <mergeCell ref="B208:C209"/>
    <mergeCell ref="B615:C616"/>
    <mergeCell ref="B617:C618"/>
    <mergeCell ref="B619:E619"/>
    <mergeCell ref="D203:E204"/>
  </mergeCells>
  <conditionalFormatting sqref="O6:O202 O205:O208">
    <cfRule type="cellIs" dxfId="5" priority="1" stopIfTrue="1" operator="equal">
      <formula>"AA"</formula>
    </cfRule>
    <cfRule type="cellIs" dxfId="4" priority="2" stopIfTrue="1" operator="equal">
      <formula>"A"</formula>
    </cfRule>
    <cfRule type="cellIs" dxfId="3" priority="3" stopIfTrue="1" operator="equal">
      <formula>"B"</formula>
    </cfRule>
  </conditionalFormatting>
  <dataValidations disablePrompts="1" count="4">
    <dataValidation type="list" allowBlank="1" showInputMessage="1" showErrorMessage="1" sqref="I6:J202 G6:G202" xr:uid="{00000000-0002-0000-0000-000000000000}">
      <formula1>"1,3,5"</formula1>
    </dataValidation>
    <dataValidation type="list" allowBlank="1" showInputMessage="1" showErrorMessage="1" sqref="H6:H202 K6:K202" xr:uid="{00000000-0002-0000-0000-000001000000}">
      <formula1>"1,5,10"</formula1>
    </dataValidation>
    <dataValidation type="list" allowBlank="1" showInputMessage="1" showErrorMessage="1" sqref="M6:M202" xr:uid="{00000000-0002-0000-0000-000002000000}">
      <formula1>"20,40,60,80,100"</formula1>
    </dataValidation>
    <dataValidation type="list" allowBlank="1" showInputMessage="1" showErrorMessage="1" sqref="F6:F202 L6:L202" xr:uid="{00000000-0002-0000-0000-000003000000}">
      <formula1>"1,5,15,35"</formula1>
    </dataValidation>
  </dataValidations>
  <printOptions horizontalCentered="1"/>
  <pageMargins left="0" right="0" top="0" bottom="0" header="0" footer="0"/>
  <pageSetup scale="55" fitToHeight="2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topLeftCell="A7" zoomScaleNormal="100" workbookViewId="0">
      <selection activeCell="E8" sqref="E8"/>
    </sheetView>
  </sheetViews>
  <sheetFormatPr defaultColWidth="0" defaultRowHeight="12.75" customHeight="1" zeroHeight="1"/>
  <cols>
    <col min="1" max="1" width="0.85546875" style="5" customWidth="1"/>
    <col min="2" max="2" width="25.28515625" style="5" customWidth="1"/>
    <col min="3" max="3" width="36.140625" style="5" customWidth="1"/>
    <col min="4" max="4" width="4" style="7" customWidth="1"/>
    <col min="5" max="5" width="36.42578125" style="5" customWidth="1"/>
    <col min="6" max="6" width="46.7109375" style="5" customWidth="1"/>
    <col min="7" max="7" width="0.85546875" style="5" customWidth="1"/>
    <col min="8" max="8" width="9.140625" style="5" customWidth="1"/>
    <col min="9" max="9" width="1.140625" style="5" customWidth="1"/>
    <col min="10" max="16384" width="9.140625" style="5" hidden="1"/>
  </cols>
  <sheetData>
    <row r="1" spans="2:8" ht="5.0999999999999996" customHeight="1"/>
    <row r="2" spans="2:8" ht="51" customHeight="1">
      <c r="B2" s="72" t="s">
        <v>346</v>
      </c>
      <c r="C2" s="73"/>
      <c r="D2" s="73"/>
      <c r="E2" s="73"/>
      <c r="F2" s="73"/>
      <c r="G2" s="73"/>
      <c r="H2" s="73"/>
    </row>
    <row r="3" spans="2:8" ht="24.95" customHeight="1">
      <c r="B3" s="8" t="s">
        <v>347</v>
      </c>
      <c r="C3" s="74"/>
      <c r="D3" s="74"/>
      <c r="E3" s="10" t="s">
        <v>348</v>
      </c>
      <c r="F3" s="24"/>
      <c r="G3" s="9"/>
      <c r="H3" s="11"/>
    </row>
    <row r="4" spans="2:8" ht="24.95" customHeight="1">
      <c r="B4" s="8" t="s">
        <v>349</v>
      </c>
      <c r="C4" s="23"/>
      <c r="D4" s="25"/>
      <c r="E4" s="10" t="s">
        <v>350</v>
      </c>
      <c r="F4" s="24"/>
      <c r="G4" s="9"/>
      <c r="H4" s="11"/>
    </row>
    <row r="5" spans="2:8" ht="5.0999999999999996" customHeight="1"/>
    <row r="6" spans="2:8" ht="18" customHeight="1">
      <c r="B6" s="20" t="s">
        <v>351</v>
      </c>
      <c r="C6" s="20" t="s">
        <v>352</v>
      </c>
      <c r="D6" s="20" t="s">
        <v>353</v>
      </c>
      <c r="E6" s="20" t="s">
        <v>354</v>
      </c>
      <c r="F6" s="20" t="s">
        <v>355</v>
      </c>
      <c r="H6" s="20" t="s">
        <v>356</v>
      </c>
    </row>
    <row r="7" spans="2:8" ht="58.5" customHeight="1">
      <c r="B7" s="21" t="s">
        <v>357</v>
      </c>
      <c r="C7" s="12" t="s">
        <v>358</v>
      </c>
      <c r="D7" s="13" t="s">
        <v>359</v>
      </c>
      <c r="E7" s="12" t="s">
        <v>360</v>
      </c>
      <c r="F7" s="14" t="s">
        <v>361</v>
      </c>
      <c r="H7" s="22">
        <v>15</v>
      </c>
    </row>
    <row r="8" spans="2:8" ht="50.1" customHeight="1">
      <c r="B8" s="75" t="s">
        <v>362</v>
      </c>
      <c r="C8" s="78" t="s">
        <v>363</v>
      </c>
      <c r="D8" s="13" t="s">
        <v>364</v>
      </c>
      <c r="E8" s="12" t="s">
        <v>365</v>
      </c>
      <c r="F8" s="14" t="s">
        <v>366</v>
      </c>
      <c r="H8" s="22">
        <v>3</v>
      </c>
    </row>
    <row r="9" spans="2:8" ht="56.25" customHeight="1">
      <c r="B9" s="76"/>
      <c r="C9" s="79"/>
      <c r="D9" s="13" t="s">
        <v>367</v>
      </c>
      <c r="E9" s="12" t="s">
        <v>368</v>
      </c>
      <c r="F9" s="14" t="s">
        <v>369</v>
      </c>
      <c r="H9" s="22">
        <v>10</v>
      </c>
    </row>
    <row r="10" spans="2:8" ht="50.1" customHeight="1">
      <c r="B10" s="76"/>
      <c r="C10" s="79"/>
      <c r="D10" s="13" t="s">
        <v>370</v>
      </c>
      <c r="E10" s="12" t="s">
        <v>371</v>
      </c>
      <c r="F10" s="14" t="s">
        <v>372</v>
      </c>
      <c r="H10" s="22">
        <v>5</v>
      </c>
    </row>
    <row r="11" spans="2:8" ht="39.950000000000003" customHeight="1">
      <c r="B11" s="76"/>
      <c r="C11" s="79"/>
      <c r="D11" s="13" t="s">
        <v>373</v>
      </c>
      <c r="E11" s="12" t="s">
        <v>374</v>
      </c>
      <c r="F11" s="14" t="s">
        <v>375</v>
      </c>
      <c r="H11" s="22">
        <v>1</v>
      </c>
    </row>
    <row r="12" spans="2:8" ht="50.1" customHeight="1">
      <c r="B12" s="77"/>
      <c r="C12" s="80"/>
      <c r="D12" s="13" t="s">
        <v>376</v>
      </c>
      <c r="E12" s="12" t="s">
        <v>377</v>
      </c>
      <c r="F12" s="14" t="s">
        <v>378</v>
      </c>
      <c r="H12" s="22">
        <v>1</v>
      </c>
    </row>
    <row r="13" spans="2:8" ht="60" customHeight="1">
      <c r="B13" s="21" t="s">
        <v>379</v>
      </c>
      <c r="C13" s="12" t="s">
        <v>380</v>
      </c>
      <c r="D13" s="13" t="s">
        <v>381</v>
      </c>
      <c r="E13" s="12" t="s">
        <v>382</v>
      </c>
      <c r="F13" s="14" t="s">
        <v>383</v>
      </c>
      <c r="H13" s="22">
        <v>15</v>
      </c>
    </row>
    <row r="14" spans="2:8" ht="73.5" customHeight="1">
      <c r="B14" s="21" t="s">
        <v>384</v>
      </c>
      <c r="C14" s="12" t="s">
        <v>385</v>
      </c>
      <c r="D14" s="13" t="s">
        <v>386</v>
      </c>
      <c r="E14" s="12" t="s">
        <v>387</v>
      </c>
      <c r="F14" s="14" t="s">
        <v>388</v>
      </c>
      <c r="H14" s="22">
        <v>100</v>
      </c>
    </row>
    <row r="15" spans="2:8" ht="5.0999999999999996" customHeight="1">
      <c r="H15" s="7"/>
    </row>
    <row r="16" spans="2:8" ht="22.5" customHeight="1">
      <c r="F16" s="16" t="s">
        <v>389</v>
      </c>
      <c r="H16" s="15">
        <f>SUM(H6:H14)</f>
        <v>150</v>
      </c>
    </row>
    <row r="17" spans="6:8" ht="22.5" customHeight="1">
      <c r="F17" s="16" t="s">
        <v>390</v>
      </c>
      <c r="H17" s="35" t="str">
        <f>IF(H16=0,0,IF(AND(H16&gt;=150,H16&lt;=205),"AA",IF(AND(H16&gt;=100,H16&lt;=149),"A",IF(AND(H16&gt;=40,H16&lt;=99),"B",IF(H16&lt;41,"C","Erro")))))</f>
        <v>AA</v>
      </c>
    </row>
    <row r="18" spans="6:8" ht="6" customHeight="1"/>
  </sheetData>
  <mergeCells count="4">
    <mergeCell ref="B2:H2"/>
    <mergeCell ref="C3:D3"/>
    <mergeCell ref="B8:B12"/>
    <mergeCell ref="C8:C12"/>
  </mergeCells>
  <conditionalFormatting sqref="H17">
    <cfRule type="cellIs" dxfId="2" priority="1" stopIfTrue="1" operator="equal">
      <formula>"AA"</formula>
    </cfRule>
    <cfRule type="cellIs" dxfId="1" priority="2" stopIfTrue="1" operator="equal">
      <formula>"A"</formula>
    </cfRule>
    <cfRule type="cellIs" dxfId="0" priority="3" stopIfTrue="1" operator="equal">
      <formula>"B"</formula>
    </cfRule>
  </conditionalFormatting>
  <printOptions horizontalCentered="1" verticalCentered="1"/>
  <pageMargins left="0" right="0" top="0" bottom="0" header="0" footer="0"/>
  <pageSetup scale="80" orientation="landscape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62417077A5040BCE788DB411084AC" ma:contentTypeVersion="24" ma:contentTypeDescription="Create a new document." ma:contentTypeScope="" ma:versionID="901965e2ce349564b1ca8b616bbe6041">
  <xsd:schema xmlns:xsd="http://www.w3.org/2001/XMLSchema" xmlns:xs="http://www.w3.org/2001/XMLSchema" xmlns:p="http://schemas.microsoft.com/office/2006/metadata/properties" xmlns:ns2="81f40bc9-4cee-4ec1-bd46-a6cb078168d7" xmlns:ns3="18588b43-6390-4a4d-b6e2-4e324449db32" targetNamespace="http://schemas.microsoft.com/office/2006/metadata/properties" ma:root="true" ma:fieldsID="c4fc6fdf38ef922495abaa67055c0471" ns2:_="" ns3:_="">
    <xsd:import namespace="81f40bc9-4cee-4ec1-bd46-a6cb078168d7"/>
    <xsd:import namespace="18588b43-6390-4a4d-b6e2-4e324449db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40bc9-4cee-4ec1-bd46-a6cb07816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bb3131-6cc5-4e77-bc53-0d9f4a5bd0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88b43-6390-4a4d-b6e2-4e324449db3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ff99da8-7e49-4e9a-ba57-c4b9ea61135c}" ma:internalName="TaxCatchAll" ma:showField="CatchAllData" ma:web="18588b43-6390-4a4d-b6e2-4e324449db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588b43-6390-4a4d-b6e2-4e324449db32" xsi:nil="true"/>
    <lcf76f155ced4ddcb4097134ff3c332f xmlns="81f40bc9-4cee-4ec1-bd46-a6cb078168d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80DAE0-7F09-43FE-84CB-52B5D1B2F7AC}"/>
</file>

<file path=customXml/itemProps2.xml><?xml version="1.0" encoding="utf-8"?>
<ds:datastoreItem xmlns:ds="http://schemas.openxmlformats.org/officeDocument/2006/customXml" ds:itemID="{88135477-5D3E-4E24-9E62-80C4C84914D0}"/>
</file>

<file path=customXml/itemProps3.xml><?xml version="1.0" encoding="utf-8"?>
<ds:datastoreItem xmlns:ds="http://schemas.openxmlformats.org/officeDocument/2006/customXml" ds:itemID="{959E883A-B1E9-4863-880F-27CBCA985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F. A. POWERTRAIN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pm00240</dc:creator>
  <cp:keywords/>
  <dc:description/>
  <cp:lastModifiedBy>SALES Jadson</cp:lastModifiedBy>
  <cp:revision/>
  <dcterms:created xsi:type="dcterms:W3CDTF">2007-08-16T15:22:50Z</dcterms:created>
  <dcterms:modified xsi:type="dcterms:W3CDTF">2026-07-03T18:39:30Z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0x01010048562417077A5040BCE788DB411084AC</vt:lpwstr>
  </property>
  <property fmtid="{D5CDD505-2E9C-101B-9397-08002B2CF9AE}" pid="3" name="MediaServiceImageTags">
    <vt:lpwstr/>
  </property>
</Properties>
</file>